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ajayrajsingh/Documents/Cursory Technology /4th june /"/>
    </mc:Choice>
  </mc:AlternateContent>
  <xr:revisionPtr revIDLastSave="0" documentId="13_ncr:1_{C32B5D23-D1F1-DC4F-98E3-595422E0BD75}" xr6:coauthVersionLast="47" xr6:coauthVersionMax="47" xr10:uidLastSave="{00000000-0000-0000-0000-000000000000}"/>
  <bookViews>
    <workbookView xWindow="0" yWindow="660" windowWidth="29400" windowHeight="18460" tabRatio="500" firstSheet="3" activeTab="10" xr2:uid="{00000000-000D-0000-FFFF-FFFF00000000}"/>
  </bookViews>
  <sheets>
    <sheet name="README" sheetId="1" r:id="rId1"/>
    <sheet name="Feature x Industry Fit" sheetId="2" r:id="rId2"/>
    <sheet name="Feature Catalogue" sheetId="3" r:id="rId3"/>
    <sheet name="Framework Crosswalk" sheetId="4" r:id="rId4"/>
    <sheet name="Control to Feature Response" sheetId="5" r:id="rId5"/>
    <sheet name="Account to Feature Map" sheetId="6" r:id="rId6"/>
    <sheet name="Industry Playbook" sheetId="7" r:id="rId7"/>
    <sheet name="EU AI Act Timeline" sheetId="8" r:id="rId8"/>
    <sheet name="India RBI &amp; DPDP" sheetId="9" r:id="rId9"/>
    <sheet name="Evidence &amp; Risk Register" sheetId="10" r:id="rId10"/>
    <sheet name="Resource Library"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1" i="6" l="1"/>
</calcChain>
</file>

<file path=xl/sharedStrings.xml><?xml version="1.0" encoding="utf-8"?>
<sst xmlns="http://schemas.openxmlformats.org/spreadsheetml/2006/main" count="1001" uniqueCount="700">
  <si>
    <t>Ajay Raj Singh  |  June 2026  |  Target the account by feature, aligned to industry regulatory pressure</t>
  </si>
  <si>
    <t>HOW THIS TRACKER IS DIFFERENT</t>
  </si>
  <si>
    <t>The previous tracker organised the pipeline around the product (the whole of Ethana) sold company by company. This one inverts that. Every target account is approached through ONE wedge feature chosen to match that account's specific regulatory trigger and AI deployment, not a generic platform pitch. You enter on the single feature that unblocks a stalled AI deployment, then expand. This protects credibility and shortens the first conversation.</t>
  </si>
  <si>
    <t>THE FOUR WORKING SHEETS</t>
  </si>
  <si>
    <t>1) Feature x Industry Fit  -  wedge / strong / supporting / off-limits per industry.
2) Feature Catalogue  -  the 10 features with evidence status, tier, scores, positioning.
3) Framework Crosswalk  -  feature &gt; control (ISO 42001 / NIST / ISO 27001 / EU AI Act).
4) Control to Feature Response  -  control &gt; feature: answer a gap list control by control.
5) Account &gt; Feature Map  -  per account: wedge feature, reason, stakeholder, caveat.
6) Industry Playbook  -  per-industry entry points, regulatory mapping, what NOT to lead with.
7) EU AI Act Timeline  -  post-Omnibus dates and the 'why now' talk track.
8) India RBI &amp; DPDP  -  RBI/DPDP mapping, FREE-AI feature mapping, the data-sovereignty wedge.
9) Evidence &amp; Risk Register  -  the claims you may not make.
10) Resource Library  -  primary-source links for TPRM and briefings.</t>
  </si>
  <si>
    <t>EVIDENCE STANDARD (non-negotiable)</t>
  </si>
  <si>
    <t>SOURCE &amp; SCOPE NOTE</t>
  </si>
  <si>
    <t>Sources: Ethana Feature Intelligence Handbook, Sales Positioning Book, Board Briefing (Confidential). The board briefing is image-based; its facts are sourced here via the Handbook's verbatim citations of it. Industry fit for BFSI-Banking, Insurance and Government is sourced from the Sales Book. Healthcare, Telecom and Enterprise SaaS are NOT covered in any source - their ratings are inference for pipeline planning only and are marked (inferred) in the fit matrix. Do not present inferred ratings as evidence-backed.</t>
  </si>
  <si>
    <t>STATUS KEY</t>
  </si>
  <si>
    <t>Confirmed</t>
  </si>
  <si>
    <t>In production / shown live</t>
  </si>
  <si>
    <t>Claimed</t>
  </si>
  <si>
    <t>Partial</t>
  </si>
  <si>
    <t>Core shipped, sub-feature in build</t>
  </si>
  <si>
    <t>Beta</t>
  </si>
  <si>
    <t>Demonstrated but stated beta</t>
  </si>
  <si>
    <t>Roadmap</t>
  </si>
  <si>
    <t>Not in production</t>
  </si>
  <si>
    <t>FEATURE  ×  INDUSTRY  FIT  MATRIX</t>
  </si>
  <si>
    <t>Wedge = lead here · Strong = strong fit · Support = supporting · Sec.= secondary · Hold = do not lead (status/sensitivity)</t>
  </si>
  <si>
    <t>#</t>
  </si>
  <si>
    <t>Feature</t>
  </si>
  <si>
    <t>Evidence Status</t>
  </si>
  <si>
    <t>BFSI – Banking</t>
  </si>
  <si>
    <t>Insurance</t>
  </si>
  <si>
    <t>Healthcare (inf.)</t>
  </si>
  <si>
    <t>Government (Public)</t>
  </si>
  <si>
    <t>Telecom (inf.)</t>
  </si>
  <si>
    <t>Enterprise SaaS (inf.)</t>
  </si>
  <si>
    <t>Gov</t>
  </si>
  <si>
    <t>Sec</t>
  </si>
  <si>
    <t>Audit</t>
  </si>
  <si>
    <t>1</t>
  </si>
  <si>
    <t>Vendor-Neutral LLM Gateway</t>
  </si>
  <si>
    <t>Wedge</t>
  </si>
  <si>
    <t>Strong</t>
  </si>
  <si>
    <t>High</t>
  </si>
  <si>
    <t>Med</t>
  </si>
  <si>
    <t>2</t>
  </si>
  <si>
    <t>Embedded Guardrails (6 scanners)</t>
  </si>
  <si>
    <t>3</t>
  </si>
  <si>
    <t>Immutable Audit Trail</t>
  </si>
  <si>
    <t>Support</t>
  </si>
  <si>
    <t>4</t>
  </si>
  <si>
    <t>Cost Governance / FinOps</t>
  </si>
  <si>
    <t>Sec.</t>
  </si>
  <si>
    <t>Low</t>
  </si>
  <si>
    <t>5</t>
  </si>
  <si>
    <t>Prompt Management (PromptOps)</t>
  </si>
  <si>
    <t>6</t>
  </si>
  <si>
    <t>Hallucination Detection</t>
  </si>
  <si>
    <t>7</t>
  </si>
  <si>
    <t>Automated Red Teaming</t>
  </si>
  <si>
    <t>8</t>
  </si>
  <si>
    <t>MCP Lifecycle Management</t>
  </si>
  <si>
    <t>9</t>
  </si>
  <si>
    <t>AI Asset Discovery (Shadow AI)</t>
  </si>
  <si>
    <t>Hold</t>
  </si>
  <si>
    <t>10</t>
  </si>
  <si>
    <t>Ethana Edge (Endpoint/Browser)</t>
  </si>
  <si>
    <t>READING THE MATRIX</t>
  </si>
  <si>
    <t>Scores out of 10 from the Feature Intelligence Handbook. Positioning from the Sales Book. Lead a feature only where its status defends the claim.</t>
  </si>
  <si>
    <t>One-line</t>
  </si>
  <si>
    <t>Tier</t>
  </si>
  <si>
    <t>Comp.</t>
  </si>
  <si>
    <t>Ent.Rdy</t>
  </si>
  <si>
    <t>Gov.Val</t>
  </si>
  <si>
    <t>Conf.</t>
  </si>
  <si>
    <t>Lead With (positioning)</t>
  </si>
  <si>
    <t>Do NOT Claim</t>
  </si>
  <si>
    <t>Vs Competitors</t>
  </si>
  <si>
    <t>Single governed API front door for all model traffic; switch models with no app rewrites.</t>
  </si>
  <si>
    <t>&gt;= STANDARD</t>
  </si>
  <si>
    <t>The single governance approval that covers the entire AI estate: one review, one policy, one audit trail.</t>
  </si>
  <si>
    <t>Do not claim 'live in 15 minutes' under enterprise conditions - change management adds time regardless.</t>
  </si>
  <si>
    <t>Beats Portkey/Helicone on governance depth &amp; on-prem; vendor-neutral vs AWS Bedrock lock-in.</t>
  </si>
  <si>
    <t>PII, Secrets, Prompt Injection, Jailbreak, Toxicity, Bias - bidirectional, sub-200ms.</t>
  </si>
  <si>
    <t>Core / STANDARD</t>
  </si>
  <si>
    <t>The enforcement layer that makes governance policy real at the infra level - a blocking control, not a report. PII = stops staff pasting customer data into ChatGPT.</t>
  </si>
  <si>
    <t>Not a bias-audit framework or model-compliance tool - it governs the interaction layer, not training. Edge PII demo is beta.</t>
  </si>
  <si>
    <t>Strong category leader; ties block-level enforcement to audit.</t>
  </si>
  <si>
    <t>Tamper-proof insert-only event store for every AI interaction; SIEM export.</t>
  </si>
  <si>
    <t>The regulatory evidence chain: turns 'we believe it was safe' into 'here is the proof'. No admin can alter records after the fact.</t>
  </si>
  <si>
    <t>No specific regulatory endorsement - align to intent of EU AI Act Art.12 / SYSC 15A; client legal confirms. Default retention period unspecified.</t>
  </si>
  <si>
    <t>Insert-only beats Helicone/Portkey/Langfuse modifiable logs; purpose-built vs Bedrock CloudWatch.</t>
  </si>
  <si>
    <t>Per-project budgets, virtual keys, real-time dashboards, alerts.</t>
  </si>
  <si>
    <t>STANDARD</t>
  </si>
  <si>
    <t>Makes AI spend predictable and attributable - Finance needs this before approving AI scaling. Flat pricing mirrors the governance philosophy.</t>
  </si>
  <si>
    <t>Per-user / per-team attribution and GPU cost tracking are in build - do not present as current.</t>
  </si>
  <si>
    <t>Flat pricing predictability vs Bedrock consumption model.</t>
  </si>
  <si>
    <t>Versioning, diff, rollback, A/B, canary - no code deploys.</t>
  </si>
  <si>
    <t>Change control for AI behaviour: an undocumented prompt change is an uncontrolled material change in a regulated system.</t>
  </si>
  <si>
    <t>Not confirmed live - qualify that live demo was unavailable; expect a product-team demo request.</t>
  </si>
  <si>
    <t>Comparable to PromptLayer on versioning; differentiated by governance integration.</t>
  </si>
  <si>
    <t>Production sampling, scoring, drift detection on live traffic.</t>
  </si>
  <si>
    <t>Answers the CRO's 'how do we know the AI isn't inventing things' - the RAG governance gap. Genuine differentiator.</t>
  </si>
  <si>
    <t>A monitoring control, not a validation framework, and not the complete answer to accuracy governance. Scoring mechanism not transparent.</t>
  </si>
  <si>
    <t>No comparable tool offers native hallucination detection on production traffic.</t>
  </si>
  <si>
    <t>21 OWASP probes + multi-turn orchestrator across model/app/agent.</t>
  </si>
  <si>
    <t>Low-Med</t>
  </si>
  <si>
    <t>Security testing that finds vulnerabilities before regulators do; finding-to-policy-rule loop auto-tightens the guardrail.</t>
  </si>
  <si>
    <t>CI/CD gate is roadmap. 21 probes are a defined library - BFSI-specific attacks need configuration investment.</t>
  </si>
  <si>
    <t>Orchestrator confirmed; bank-specific YAML probe authoring needs validation.</t>
  </si>
  <si>
    <t>Hosting, versioning, governance &amp; tracing for agent tool servers.</t>
  </si>
  <si>
    <t>ULTRA</t>
  </si>
  <si>
    <t>Makes agent tool access as controlled as human system access - an agent shouldn't out-privilege the employee it assists.</t>
  </si>
  <si>
    <t>Non-Human Identity (ephemeral tokens) is roadmap - agents currently reuse user credentials, a real security gap. ULTRA-tier only.</t>
  </si>
  <si>
    <t>Differentiated; few competitors govern the MCP layer.</t>
  </si>
  <si>
    <t>Multi-source connector layer building a risk-scored AI inventory.</t>
  </si>
  <si>
    <t>n/a</t>
  </si>
  <si>
    <t>Use the shadow-AI narrative to create urgency - then be explicit the tooling to solve it is not yet live.</t>
  </si>
  <si>
    <t>ENTIRE capability is roadmap. Do not hint it is available or close without a confirmed product-team timeline.</t>
  </si>
  <si>
    <t>No claimable position - roadmap only.</t>
  </si>
  <si>
    <t>Device-level AI governance, observability and PII blocking in the browser.</t>
  </si>
  <si>
    <t>Governs the AI tools the gateway cannot see - the browser ChatGPT-tab problem. Second-phase conversation only.</t>
  </si>
  <si>
    <t>Beta (stated by product team). HR/employment-law sign-off required. Do not lead with this in BFSI pitches.</t>
  </si>
  <si>
    <t>Proof-of-concept only; not a production claim.</t>
  </si>
  <si>
    <t>FEATURE  &gt;  FRAMEWORK  CONTROL  CROSSWALK</t>
  </si>
  <si>
    <t>Where each feature CONTRIBUTES EVIDENCE toward a control. Ethana is a technical control, not certification - the client's auditor confirms applicability. Confirm SOC 2 / ISO 27001 status before citing.</t>
  </si>
  <si>
    <t>Status</t>
  </si>
  <si>
    <t>ISO/IEC 42001:2023 Annex A</t>
  </si>
  <si>
    <t>NIST AI RMF 1.0</t>
  </si>
  <si>
    <t>ISO/IEC 27001:2022 Annex A</t>
  </si>
  <si>
    <t>EU AI Act</t>
  </si>
  <si>
    <t>Evidence it produces (and limit)</t>
  </si>
  <si>
    <t>A.6.2.6 operation; A.4.5 tooling resources; A.10.3 third-party (model) suppliers</t>
  </si>
  <si>
    <t>GOVERN 1.1/6.1 (third-party); MANAGE 4.1 monitoring</t>
  </si>
  <si>
    <t>A.5.23 use of cloud services; A.5.19 supplier relationships; A.8.15 logging</t>
  </si>
  <si>
    <t>Art.12 record-keeping (call capture)</t>
  </si>
  <si>
    <t>Single enforcement &amp; evidence surface for all model traffic. One control point, one audit trail.</t>
  </si>
  <si>
    <t>A.6.2.6 operation/monitoring; A.5.4 impacts on individuals (PII/toxicity/bias)</t>
  </si>
  <si>
    <t>MEASURE 2.7 security/resilience; 2.10 privacy; 2.11 harmful bias; MANAGE 2.3</t>
  </si>
  <si>
    <t>A.8.12 data leakage prevention; A.8.16 monitoring; A.5.7 threat intelligence</t>
  </si>
  <si>
    <t>Art.15 accuracy/robustness/cybersecurity; Art.10 data governance</t>
  </si>
  <si>
    <t>Per-call blocking + enforcement evidence. Bias scanner is interaction-layer, NOT a model-bias audit.</t>
  </si>
  <si>
    <t>A.6.2.8 event recording/logging; A.8.2 system documentation; A.8.4 incident information</t>
  </si>
  <si>
    <t>MEASURE 2.8 transparency/accountability; MANAGE 4.1 documentation</t>
  </si>
  <si>
    <t>A.8.15 logging; A.8.16 monitoring; A.5.28 collection of evidence</t>
  </si>
  <si>
    <t>Art.12 record-keeping; Art.13 transparency</t>
  </si>
  <si>
    <t>The evidence chain. Insert-only, no admin edit. Confirm retention vs FCA (5-7yr) / MAS rules.</t>
  </si>
  <si>
    <t>A.4.4 computing resources; A.4.5 resource management</t>
  </si>
  <si>
    <t>GOVERN 1.x resource governance</t>
  </si>
  <si>
    <t>A.8.6 capacity management; A.5.9 asset inventory (partial)</t>
  </si>
  <si>
    <t>Limited direct mapping</t>
  </si>
  <si>
    <t>Operational-governance evidence that AI cost is monitored/controlled. Per-user attribution in build.</t>
  </si>
  <si>
    <t>A.6.2.4 verification &amp; validation; A.6.2.5 deployment; A.6.2.7 documentation</t>
  </si>
  <si>
    <t>MANAGE 4.1 change; MEASURE 2.5 validity (A/B)</t>
  </si>
  <si>
    <t>A.8.9 configuration management; A.8.32 change management</t>
  </si>
  <si>
    <t>Art.9 risk mgmt (controlled change); Art.72 post-market monitoring</t>
  </si>
  <si>
    <t>A.6.2.6 operation/monitoring; A.6.2.4 verification &amp; validation</t>
  </si>
  <si>
    <t>MEASURE 2.5 validity/reliability; 2.9 explainability; 2.13 efficacy/drift; MANAGE 4.1</t>
  </si>
  <si>
    <t>A.8.16 monitoring activities</t>
  </si>
  <si>
    <t>Art.15 accuracy; Art.72 post-market monitoring</t>
  </si>
  <si>
    <t>A.6.2.4 verification &amp; validation; A.5.2 AI system impact assessment</t>
  </si>
  <si>
    <t>MEASURE 2.7 security/resilience; MAP 5.1 impact; MANAGE 2.x</t>
  </si>
  <si>
    <t>A.8.29 security testing in dev/acceptance; A.8.8 technical vuln mgmt; A.5.7 threat intel</t>
  </si>
  <si>
    <t>Art.15 robustness/cybersecurity; Art.9 risk mgmt</t>
  </si>
  <si>
    <t>Pre-deployment adversarial-test evidence. CI/CD gate is roadmap. 21 OWASP probes = fixed library.</t>
  </si>
  <si>
    <t>A.10.2/A.10.3 third-party tool responsibilities; A.6.2.6 operation; A.4.5 tooling</t>
  </si>
  <si>
    <t>GOVERN 6.1 third-party; MANAGE 3.1-3.2 third-party risk; MAP 4.1</t>
  </si>
  <si>
    <t>A.5.19-A.5.22 supplier relationships; A.8.15 logging; A.8.3 access restriction</t>
  </si>
  <si>
    <t>Art.26 deployer obligations (partial)</t>
  </si>
  <si>
    <t>Per-tool-call tracing = agent access evidence. NHI ephemeral tokens roadmap; agents reuse user creds today.</t>
  </si>
  <si>
    <t>A.4.2 data/asset resources; A.9.2 responsible use</t>
  </si>
  <si>
    <t>MAP 1.1 context/inventory; GOVERN 1.x</t>
  </si>
  <si>
    <t>A.5.9 inventory of associated assets; A.5.10 acceptable use</t>
  </si>
  <si>
    <t>Foundational (no single article)</t>
  </si>
  <si>
    <t>ENTIRE capability ROADMAP. Maps cleanly to inventory controls but is NOT available - do not cite as live.</t>
  </si>
  <si>
    <t>A.9.2 responsible use; A.6.2.6 operation</t>
  </si>
  <si>
    <t>GOVERN 4.x culture; MAP 1.1 inventory; MEASURE 2.10 privacy</t>
  </si>
  <si>
    <t>A.8.1 user endpoint devices; A.8.12 DLP; A.5.10 acceptable use</t>
  </si>
  <si>
    <t>BETA. Endpoint-control evidence in principle. Requires HR/employment-law sign-off. Never lead in regulated pitches.</t>
  </si>
  <si>
    <t>USE NOTE</t>
  </si>
  <si>
    <t>Control IDs follow ISO/IEC 42001:2023 Annex A, ISO/IEC 27001:2022 Annex A, and NIST AI RMF 1.0 (GOVERN/MAP/MEASURE/MANAGE). They show where a feature generates evidence a client could map into their own AIMS/ISMS - not a claim that Ethana delivers compliance. Every mapping must be confirmed against the client's Statement of Applicability and their auditor. Roadmap/Beta rows are aspirational only.</t>
  </si>
  <si>
    <t>Hand this when a prospect gives you their ISO 42001 / NIST profile. Coverage: Full=satisfies · Partial=contributes, gaps remain · Evidence=produces input, client owns control · Roadmap=only a roadmap feature · Gap=client owns, Ethana does not address.</t>
  </si>
  <si>
    <t>Control / Subcategory</t>
  </si>
  <si>
    <t>What the control requires</t>
  </si>
  <si>
    <t>Ethana feature(s) that answer</t>
  </si>
  <si>
    <t>Coverage</t>
  </si>
  <si>
    <t>Honest scope note for the room</t>
  </si>
  <si>
    <t>A.2.2 AI policy</t>
  </si>
  <si>
    <t>Organisation defines and maintains an AI policy.</t>
  </si>
  <si>
    <t>Client-owned. Guardrail + audit config enforce/evidence specific policy elements (model use, PII).</t>
  </si>
  <si>
    <t>Evidence</t>
  </si>
  <si>
    <t>You author the policy. Ethana makes named technical elements of it enforceable and auditable.</t>
  </si>
  <si>
    <t>A.3.2 Roles &amp; responsibilities</t>
  </si>
  <si>
    <t>Assign AI governance roles and segregation of duties.</t>
  </si>
  <si>
    <t>RBAC + approval workflow for PII unmasking events.</t>
  </si>
  <si>
    <t>Gap</t>
  </si>
  <si>
    <t>Client owns role assignment. Ethana enforces segregation only at the unmasking-approval step.</t>
  </si>
  <si>
    <t>A.4.4 Tooling resources</t>
  </si>
  <si>
    <t>Manage the tools used across the AI life cycle.</t>
  </si>
  <si>
    <t>Gateway; MCP Broker.</t>
  </si>
  <si>
    <t>Full</t>
  </si>
  <si>
    <t>Confirmed: single governed front door for models and a controlled registry for agent tools.</t>
  </si>
  <si>
    <t>A.4.5 System &amp; computing resources</t>
  </si>
  <si>
    <t>Manage system/compute resources for AI.</t>
  </si>
  <si>
    <t>Cost Governance; Gateway routing.</t>
  </si>
  <si>
    <t>Per-project budget/quota confirmed. Per-user and GPU attribution are roadmap.</t>
  </si>
  <si>
    <t>A.5.2 Impact assessment process</t>
  </si>
  <si>
    <t>Run an AI system impact assessment.</t>
  </si>
  <si>
    <t>Red Teaming; Hallucination Detection; Audit Trail.</t>
  </si>
  <si>
    <t>Client runs the AIIA. Ethana supplies adversarial-test and monitoring evidence as inputs.</t>
  </si>
  <si>
    <t>A.5.4 Impacts on individuals/groups</t>
  </si>
  <si>
    <t>Assess and address PII, bias, toxicity impacts.</t>
  </si>
  <si>
    <t>Guardrails (PII, Toxicity, Bias scanners).</t>
  </si>
  <si>
    <t>Interaction-layer detection + block + log. NOT a model-bias audit of training.</t>
  </si>
  <si>
    <t>A.6.2.4 Verification &amp; validation</t>
  </si>
  <si>
    <t>Verify and validate the AI system before/in use.</t>
  </si>
  <si>
    <t>Red Teaming; PromptOps A/B; Hallucination Detection.</t>
  </si>
  <si>
    <t>A.6.2.5 Deployment</t>
  </si>
  <si>
    <t>Control how the system is deployed.</t>
  </si>
  <si>
    <t>PromptOps (canary, rollback).</t>
  </si>
  <si>
    <t>A.6.2.6 Operation &amp; monitoring</t>
  </si>
  <si>
    <t>Monitor and control the system in operation.</t>
  </si>
  <si>
    <t>Guardrails; Hallucination Detection; Gateway; Audit Trail.</t>
  </si>
  <si>
    <t>Confirmed core: runtime enforcement + monitoring + record on live traffic.</t>
  </si>
  <si>
    <t>A.6.2.8 Event logs</t>
  </si>
  <si>
    <t>Record event logs across the life cycle.</t>
  </si>
  <si>
    <t>Immutable Audit Trail.</t>
  </si>
  <si>
    <t>Confirmed insert-only event store. Confirm retention vs FCA (5-7yr) / MAS.</t>
  </si>
  <si>
    <t>A.7.4 Quality of data</t>
  </si>
  <si>
    <t>Ensure quality of data used to develop AI.</t>
  </si>
  <si>
    <t>Not addressed.</t>
  </si>
  <si>
    <t>Client owns training-data quality. Ethana governs the interaction layer, not the dataset.</t>
  </si>
  <si>
    <t>A.7.5 Data provenance</t>
  </si>
  <si>
    <t>Track provenance of data.</t>
  </si>
  <si>
    <t>Client owns provenance of training data. Be explicit about this boundary.</t>
  </si>
  <si>
    <t>A.8.4 Communication of incidents</t>
  </si>
  <si>
    <t>Communicate AI incidents to interested parties.</t>
  </si>
  <si>
    <t>Guardrail alerts; Audit Trail.</t>
  </si>
  <si>
    <t>Detection + evidence feed. Client owns the incident-communication process itself.</t>
  </si>
  <si>
    <t>A.9.2 Responsible use processes</t>
  </si>
  <si>
    <t>Govern how AI is used in the organisation.</t>
  </si>
  <si>
    <t>Ethana Edge (beta); Gateway (built apps).</t>
  </si>
  <si>
    <t>Gateway governs apps you build. Edge governs employee tool use but is BETA + needs HR sign-off.</t>
  </si>
  <si>
    <t>A.10.3 Suppliers</t>
  </si>
  <si>
    <t>Manage AI suppliers / third parties.</t>
  </si>
  <si>
    <t>Gateway (model providers); MCP Broker (tool servers).</t>
  </si>
  <si>
    <t>Vendor-neutral routing + per-tool-call tracing = supplier control &amp; evidence. NHI tokens roadmap.</t>
  </si>
  <si>
    <t>A.10.4 Customers</t>
  </si>
  <si>
    <t>Provide required information to customers.</t>
  </si>
  <si>
    <t>Client owns customer-facing obligations.</t>
  </si>
  <si>
    <t>GOVERN 1.x Policies &amp; accountability</t>
  </si>
  <si>
    <t>Policies, processes and accountability for AI risk.</t>
  </si>
  <si>
    <t>Audit Trail; RBAC.</t>
  </si>
  <si>
    <t>Client owns governance structure. Ethana evidences accountability with an immutable record.</t>
  </si>
  <si>
    <t>GOVERN 6.1 Third-party risk</t>
  </si>
  <si>
    <t>Govern risks from third-party models/tools/data.</t>
  </si>
  <si>
    <t>Confirmed: model-provider neutrality + tool registry, tracing and policy-controlled exposure.</t>
  </si>
  <si>
    <t>MAP 1.1 Context &amp; AI inventory</t>
  </si>
  <si>
    <t>Establish context; inventory AI in use.</t>
  </si>
  <si>
    <t>Discovery (Shadow AI).</t>
  </si>
  <si>
    <t>Discovery is ROADMAP. Use the shadow-AI narrative, do not claim the inventory tool is live.</t>
  </si>
  <si>
    <t>MAP 4.1 Third-party risks mapped</t>
  </si>
  <si>
    <t>Map risks from third-party components.</t>
  </si>
  <si>
    <t>MCP Broker; Gateway.</t>
  </si>
  <si>
    <t>Tool/model inventory and tracing for what routes through Ethana, not the full estate.</t>
  </si>
  <si>
    <t>MAP 5.1 Impacts characterised</t>
  </si>
  <si>
    <t>Characterise impacts and likelihood.</t>
  </si>
  <si>
    <t>Red Teaming; Hallucination Detection.</t>
  </si>
  <si>
    <t>Supplies findings; client characterises impact in their own MAP record.</t>
  </si>
  <si>
    <t>MEASURE 2.5 Validity &amp; reliability</t>
  </si>
  <si>
    <t>Measure validity/reliability of AI output.</t>
  </si>
  <si>
    <t>Hallucination Detection.</t>
  </si>
  <si>
    <t>MEASURE 2.7 Security &amp; resilience</t>
  </si>
  <si>
    <t>Measure security and resilience.</t>
  </si>
  <si>
    <t>Guardrails (injection/jailbreak); Red Teaming.</t>
  </si>
  <si>
    <t>Runtime block confirmed; adversarial testing confirmed orchestrator. CI/CD gate roadmap.</t>
  </si>
  <si>
    <t>MEASURE 2.8 Transparency &amp; accountability</t>
  </si>
  <si>
    <t>Measure transparency/accountability mechanisms.</t>
  </si>
  <si>
    <t>Confirmed: tamper-proof record of every interaction.</t>
  </si>
  <si>
    <t>MEASURE 2.10 Privacy</t>
  </si>
  <si>
    <t>Measure privacy risk and controls.</t>
  </si>
  <si>
    <t>Guardrails (PII, Secrets scanners).</t>
  </si>
  <si>
    <t>Confirmed: detect, mask, block, log. Edge PII demo is beta, keep to gateway scanners.</t>
  </si>
  <si>
    <t>MEASURE 2.11 Harmful bias</t>
  </si>
  <si>
    <t>Measure harmful bias and homogenisation.</t>
  </si>
  <si>
    <t>Guardrails (Bias, Toxicity scanners).</t>
  </si>
  <si>
    <t>Interaction-layer detection, NOT a model-bias audit. Do not overclaim.</t>
  </si>
  <si>
    <t>MEASURE 2.13 Monitoring efficacy / drift</t>
  </si>
  <si>
    <t>Track ongoing monitoring effectiveness &amp; drift.</t>
  </si>
  <si>
    <t>Hallucination Detection (drift).</t>
  </si>
  <si>
    <t>MANAGE 2.x Risk treatment</t>
  </si>
  <si>
    <t>Plan and implement risk treatment.</t>
  </si>
  <si>
    <t>Guardrails (blocking); policy rules.</t>
  </si>
  <si>
    <t>Enforcement is confirmed; the OPA/Rego policy engine for signed bundles is ROADMAP.</t>
  </si>
  <si>
    <t>MANAGE 3.x Third-party risk mgmt</t>
  </si>
  <si>
    <t>Manage third-party risks over time.</t>
  </si>
  <si>
    <t>Ongoing tracing and control of routed models/tools.</t>
  </si>
  <si>
    <t>MANAGE 4.1 Post-deployment monitoring</t>
  </si>
  <si>
    <t>Monitor deployed AI and respond.</t>
  </si>
  <si>
    <t>Audit Trail; Hallucination; Guardrails.</t>
  </si>
  <si>
    <t>Confirmed continuous runtime monitoring + immutable evidence + alerting.</t>
  </si>
  <si>
    <t>HOW TO USE IN THE ROOM</t>
  </si>
  <si>
    <t>Lead with the Full rows - that is where you win on evidence. Name the Gap rows yourself before the prospect does; a control layer that admits what it does not cover (training-data quality, policy authorship, org roles) is more credible than one that claims everything. Partial/Evidence rows are the expansion and services conversation. Every rating must be confirmed against the client's Statement of Applicability and their auditor.</t>
  </si>
  <si>
    <t>Stakeholders &amp; triggers carried from the existing pipeline. Lead with the wedge; the 2nd feature is the expansion path. Manage the caveat openly.</t>
  </si>
  <si>
    <t>Account</t>
  </si>
  <si>
    <t>Industry</t>
  </si>
  <si>
    <t>Reg. Trigger</t>
  </si>
  <si>
    <t>Wedge Feature</t>
  </si>
  <si>
    <t>Why this wedge</t>
  </si>
  <si>
    <t>2nd Feature</t>
  </si>
  <si>
    <t>Stakeholder</t>
  </si>
  <si>
    <t>Title</t>
  </si>
  <si>
    <t>Evidence Caveat to manage</t>
  </si>
  <si>
    <t>Stage</t>
  </si>
  <si>
    <t>Pri.</t>
  </si>
  <si>
    <t>HDFC Bank</t>
  </si>
  <si>
    <t>RBI Model Risk Circular</t>
  </si>
  <si>
    <t>Largest AI in credit; model-risk culture wants event-level evidence to satisfy CRO sign-off.</t>
  </si>
  <si>
    <t>Guardrails (PII)</t>
  </si>
  <si>
    <t>Sanmoy Chakrabarti</t>
  </si>
  <si>
    <t>Chief Risk Officer</t>
  </si>
  <si>
    <t>SOC 2 Type II in progress - confirm status before TPRM; align audit to intent, legal confirms.</t>
  </si>
  <si>
    <t>Prospecting</t>
  </si>
  <si>
    <t>ICICI Bank</t>
  </si>
  <si>
    <t>RBI AI/ML Risk Guidelines</t>
  </si>
  <si>
    <t>LLM Gateway</t>
  </si>
  <si>
    <t>Active GenAI pilots, board-level governance query - one approval covering the whole AI estate is the unlock.</t>
  </si>
  <si>
    <t>Anish Madhavan</t>
  </si>
  <si>
    <t>Group Chief Compliance Officer</t>
  </si>
  <si>
    <t>Do not claim 15-min integration under enterprise conditions; SOC 2 caveat applies.</t>
  </si>
  <si>
    <t>ICICI Prudential Life</t>
  </si>
  <si>
    <t>IRDAI AI + DPDPA</t>
  </si>
  <si>
    <t>AI-based underwriting growing; needs decision evidence chain for automated-decision scrutiny.</t>
  </si>
  <si>
    <t>CRO</t>
  </si>
  <si>
    <t>Map to Solvency-II-style operational risk, not FCA; SOC 2 caveat.</t>
  </si>
  <si>
    <t>Research</t>
  </si>
  <si>
    <t>BharatPe</t>
  </si>
  <si>
    <t>Fintech</t>
  </si>
  <si>
    <t>RBI + DPDPA</t>
  </si>
  <si>
    <t>SME credit AI + DPDPA exposure; PII masking stops customer data leaving infra - immediate CISO problem.</t>
  </si>
  <si>
    <t>Head of Risk</t>
  </si>
  <si>
    <t>Edge PII demo is beta - keep PII positioning to the gateway scanners, not Edge.</t>
  </si>
  <si>
    <t>DBS Bank</t>
  </si>
  <si>
    <t>MAS AI Governance Framework</t>
  </si>
  <si>
    <t>Leading APAC governance program; vendor-neutral control layer fits a multi-model estate.</t>
  </si>
  <si>
    <t>Red Teaming</t>
  </si>
  <si>
    <t>Head of AI Governance</t>
  </si>
  <si>
    <t>Technology Risk – AI Risk</t>
  </si>
  <si>
    <t>On-prem not proven at G-SIB scale in evidence - position as supported, scope a joint validation.</t>
  </si>
  <si>
    <t>OCBC Bank</t>
  </si>
  <si>
    <t>MAS Model Risk + AI Guidance</t>
  </si>
  <si>
    <t>Active AI governance investment; audit evidence chain is the cleanest entry for a risk-led buyer.</t>
  </si>
  <si>
    <t>Guardrails</t>
  </si>
  <si>
    <t>SOC 2 caveat; retention period unspecified - confirm against MAS record-keeping.</t>
  </si>
  <si>
    <t>Wedge mix:</t>
  </si>
  <si>
    <t>BFSI / Insurance / Government are sourced from the Sales Book. Healthcare / Telecom / SaaS are inference for planning.</t>
  </si>
  <si>
    <t>Source</t>
  </si>
  <si>
    <t>Entry-Point Features</t>
  </si>
  <si>
    <t>Regulatory Mapping</t>
  </si>
  <si>
    <t>Do NOT Lead With</t>
  </si>
  <si>
    <t>Qualification Gate</t>
  </si>
  <si>
    <t>Sourced</t>
  </si>
  <si>
    <t>Gateway + Audit Trail for any RAG or call-summarisation deployment. PII Guardrails for any contact-centre AI. Red Teaming where AI was deployed without adversarial-test documentation.</t>
  </si>
  <si>
    <t>FCA SYSC 15A (operational resilience); EU AI Act Art.12 (logging) + Art.15 (accuracy/robustness). ISO 42001 A.6.2.6/A.6.2.8; ISO 27001 A.8.15. Position to intent; client legal confirms.</t>
  </si>
  <si>
    <t>Ethana Edge (employee-monitoring/HR exposure). Discovery (roadmap).</t>
  </si>
  <si>
    <t>Confirm SOC 2 Type II + ISO 27001 verifiability BEFORE first meeting - procurement will not progress without them.</t>
  </si>
  <si>
    <t>Same set as BFSI - Gateway, Guardrails, Audit Trail. Claims-processing AI, underwriting model governance, customer-communication compliance.</t>
  </si>
  <si>
    <t>Solvency II operational-risk governance (not FCA SYSC). EU AI Act high-risk classification for automated underwriting (Art.6/Annex III) + Art.15. ISO 42001 A.5.2 impact assessment is the lever.</t>
  </si>
  <si>
    <t>Edge (beta). Discovery (roadmap).</t>
  </si>
  <si>
    <t>SOC 2 + ISO as BFSI. Flag EU AI Act high-risk exposure as the urgency lever.</t>
  </si>
  <si>
    <t>Government / Public</t>
  </si>
  <si>
    <t>Gateway + Audit Trail for any AI-assisted public-service decision. Air-gapped deployment is the primary differentiator.</t>
  </si>
  <si>
    <t>ISO 27001 a minimum requirement; ISO 42001 A.6.2.8 logging + Compliance Evidence Export (roadmap) once live. EU AI Act Art.12/13 for public-service decisions. Air-gap is the differentiator.</t>
  </si>
  <si>
    <t>Anything roadmap presented as live - risk tolerance is lowest and cycles longest.</t>
  </si>
  <si>
    <t>ISO 27001 minimum. Longer procurement; confirm air-gap deployment scope early.</t>
  </si>
  <si>
    <t>Healthcare (inferred)</t>
  </si>
  <si>
    <t>Inference</t>
  </si>
  <si>
    <t>Guardrails (PHI/PII) + Audit Trail as the wedge; Hallucination Detection for any clinical-information assistant.</t>
  </si>
  <si>
    <t>Not in source. Likely HIPAA (US) / DPDPA (India); EU AI Act high-risk if clinical decisions. NIST AI RMF MEASURE 2.10 (privacy) frames PHI guardrails. Validate with client.</t>
  </si>
  <si>
    <t>Edge (beta). Discovery (roadmap). Any clinical-accuracy guarantee.</t>
  </si>
  <si>
    <t>Treat as unsourced. Confirm SOC 2/ISO and the actual regulatory regime before positioning.</t>
  </si>
  <si>
    <t>Telecom (inferred)</t>
  </si>
  <si>
    <t>Gateway + Cost Governance for high-volume customer-service AI; Guardrails for contact-centre PII.</t>
  </si>
  <si>
    <t>Not in source. Likely consumer data-protection + contact-centre rules; ISO 27001 A.8.12 DLP frames PII. Validate the actual driver.</t>
  </si>
  <si>
    <t>Edge unless HR-cleared. Discovery (roadmap).</t>
  </si>
  <si>
    <t>Unsourced. Validate regulatory driver and procurement gates.</t>
  </si>
  <si>
    <t>Enterprise SaaS (inferred)</t>
  </si>
  <si>
    <t>Gateway + MCP Lifecycle + Cost Governance for agent-heavy products; PromptOps for shipping AI features under change control.</t>
  </si>
  <si>
    <t>Not in source. Driver is usually the buyer's own customers' assurance (SOC 2 / ISO 27001 inheritance) and ISO 42001 if they ship AI features. Validate.</t>
  </si>
  <si>
    <t>Discovery (roadmap). Edge unless relevant.</t>
  </si>
  <si>
    <t>Unsourced. Lower regulatory urgency than BFSI - lead on control + cost, not compliance.</t>
  </si>
  <si>
    <t>Digital Omnibus political agreement 6 May 2026, Council-confirmed 13 May. Binds only on Official Journal publication, expected before 2 Aug 2026. Not legal advice - client legal confirms.</t>
  </si>
  <si>
    <t>Date</t>
  </si>
  <si>
    <t>Provision</t>
  </si>
  <si>
    <t>What it means for the Ethana conversation</t>
  </si>
  <si>
    <t>1 Aug 2024</t>
  </si>
  <si>
    <t>AI Act enters into force.</t>
  </si>
  <si>
    <t>In force</t>
  </si>
  <si>
    <t>Baseline. The risk-based architecture is unchanged by the Omnibus.</t>
  </si>
  <si>
    <t>2 Feb 2025</t>
  </si>
  <si>
    <t>Art.5 prohibitions; Art.4 AI literacy.</t>
  </si>
  <si>
    <t>Literacy obligation softened to 'support' staff literacy. New Art.5 ban on nudifiers/CSAM added (transition to 2 Dec 2026).</t>
  </si>
  <si>
    <t>2 Aug 2025</t>
  </si>
  <si>
    <t>GPAI model obligations; AI Office operational.</t>
  </si>
  <si>
    <t>AI Office enforcement powers reinforced - investigations, inspections, fines.</t>
  </si>
  <si>
    <t>2 Aug 2026</t>
  </si>
  <si>
    <t>Art.50 transparency for AI-generated content.</t>
  </si>
  <si>
    <t>Live</t>
  </si>
  <si>
    <t>THIS DATE SURVIVES. Disclosure/transparency obligations proceed. The near-term lever that did not move.</t>
  </si>
  <si>
    <t>2 Dec 2026</t>
  </si>
  <si>
    <t>Watermarking grace ends (existing systems); nudifier/CSAM transition ends.</t>
  </si>
  <si>
    <t>New</t>
  </si>
  <si>
    <t>Relevant to generative-content tooling, not core BFSI governance.</t>
  </si>
  <si>
    <t>2 Aug 2027</t>
  </si>
  <si>
    <t>Deadline for member states to set up AI regulatory sandboxes.</t>
  </si>
  <si>
    <t>Deferred</t>
  </si>
  <si>
    <t>One year later than first scheduled.</t>
  </si>
  <si>
    <t>2 Dec 2027</t>
  </si>
  <si>
    <t>Annex III high-risk obligations apply (credit scoring, recruitment, etc.).</t>
  </si>
  <si>
    <t>THE CORE BFSI/HR DATE NOW. Credit scoring stays Annex III high-risk - deferred, not removed.</t>
  </si>
  <si>
    <t>2 Aug 2028</t>
  </si>
  <si>
    <t>Annex I embedded high-risk obligations apply (medical devices, machinery, vehicles).</t>
  </si>
  <si>
    <t>Relevant to insurance/healthcare device-embedded AI.</t>
  </si>
  <si>
    <t>TALK TRACK</t>
  </si>
  <si>
    <t>The objection the Omnibus creates</t>
  </si>
  <si>
    <t>'The EU just pushed the high-risk deadline to 2027/2028 - why buy AI governance now?' Expect this from any EU-exposed prospect from May 2026 onward.</t>
  </si>
  <si>
    <t>Counter 1 - Deferral, not dismantling</t>
  </si>
  <si>
    <t>Council and Parliament agreed the change on 6 May, confirmed 13 May; the risk-based architecture, governance structure and core obligations are intact. The dates only bind once published in the Official Journal, expected before 2 Aug 2026. Nothing was repealed.</t>
  </si>
  <si>
    <t>Counter 2 - High-risk still captures your core systems</t>
  </si>
  <si>
    <t>Annex III high-risk explicitly covers credit scoring and recruitment. For a bank that is the credit model; for any enterprise it is HR AI. The obligation did not disappear - it is dated 2 Dec 2027. That is a build window, not a reprieve.</t>
  </si>
  <si>
    <t>Counter 3 - The regulator's own message is 'use the time, do not wait'</t>
  </si>
  <si>
    <t>Legal analysts are uniform: a compliance framework takes time to build properly, and the deferral is a signal to commence, not defer. Ethana's confirmed core - gateway, guardrails, immutable audit - is exactly the foundation a prospect stands up during the runway.</t>
  </si>
  <si>
    <t>Counter 4 - One date did not move</t>
  </si>
  <si>
    <t>Art.50 transparency still applies from 2 Aug 2026. Any prospect deploying user-facing or content-generating AI has a live near-term obligation regardless of the high-risk delay.</t>
  </si>
  <si>
    <t>Lead-with asset</t>
  </si>
  <si>
    <t>Open EU-exposed accounts with your own published analysis, 'The Governance Gap' (Edition 1), rather than a product deck. It frames you as the governance authority before Ethana is ever mentioned.</t>
  </si>
  <si>
    <t>Discipline</t>
  </si>
  <si>
    <t>Position to the intent of the regulation; never assert a prospect's specific classification or deadline. Their legal team confirms applicability. State that the Omnibus binds only on OJ publication.</t>
  </si>
  <si>
    <t>For Indian BFSI the wedge is the DEPLOYMENT MODEL, not a feature. Data stays in India and in RBI audit reach. Sourced June 2026; advisory items flagged. Client legal confirms.</t>
  </si>
  <si>
    <t>1.  THE REGULATORY LANDSCAPE</t>
  </si>
  <si>
    <t>Regulation</t>
  </si>
  <si>
    <t>What it requires</t>
  </si>
  <si>
    <t>Status / Date</t>
  </si>
  <si>
    <t>Why it matters for Ethana</t>
  </si>
  <si>
    <t>RBI Storage of Payment System Data</t>
  </si>
  <si>
    <t>All payment-system data stored only in India; data processed abroad must be deleted overseas and held in India within 24h.</t>
  </si>
  <si>
    <t>In force (Apr 2018)</t>
  </si>
  <si>
    <t>On-prem / India-VPC deployment keeps payment data in country. Gateway PII masking strips PAN/Aadhaar/account IDs before any model call.</t>
  </si>
  <si>
    <t>RBI Master Direction - Managing Risks in Outsourcing of IT Services</t>
  </si>
  <si>
    <t>Local-only storage of core-banking &amp; payment data; cross-border storage/duplication prohibited barring exceptional approval; full RBI audit access; third-party &amp; cloud-vendor obligations; exit strategy.</t>
  </si>
  <si>
    <t>In force (2023, updated 2025)</t>
  </si>
  <si>
    <t>An India-deployed control layer fits the outsourcing direction; immutable audit trail provides the RBI audit access; gateway/MCP govern third-party model &amp; tool vendors.</t>
  </si>
  <si>
    <t>RBI IFS Cloud (IFTAS)</t>
  </si>
  <si>
    <t>RBI-owned, India-hosted community cloud for regulated entities to cut foreign-vendor dependency.</t>
  </si>
  <si>
    <t>Rolling out 2025-26</t>
  </si>
  <si>
    <t>Ethana can deploy into a customer VPC / India-hosted environment; reinforces the India-resident posture and lowers concentration-risk objections.</t>
  </si>
  <si>
    <t>RBI FREE-AI Framework</t>
  </si>
  <si>
    <t>7 sutras, 6 pillars, 26 recommendations: board-approved AI policy, data-lifecycle governance, audit trails documenting how AI reaches conclusions, explainability, independent audits &amp; impact assessments, AI inventory, incident reporting.</t>
  </si>
  <si>
    <t>Advisory (13 Aug 2025); designed to harden into Master Directions</t>
  </si>
  <si>
    <t>Direct fit: audit trail, guardrails (Protection), red teaming (Assurance), gateway. The AI inventory step maps to Discovery, which is ROADMAP - do not claim live.</t>
  </si>
  <si>
    <t>DPDP Act 2023 + DPDP Rules 2025</t>
  </si>
  <si>
    <t>Negative-list cross-border (allowed unless Govt restricts); SDF extra duties incl. possible localization; consent, breach notification, retention/erasure.</t>
  </si>
  <si>
    <t>Rules notified 14 Nov 2025; substantive provisions ~18 months (mid-2027), possible acceleration</t>
  </si>
  <si>
    <t>PII detection/masking/logging supports data-protection duties; audit trail evidences lawful processing. Begin data-flow mapping now.</t>
  </si>
  <si>
    <t>DPDP Section 17 (sectoral power)</t>
  </si>
  <si>
    <t>Sectoral regulators (RBI) may impose stricter localization than the DPDP baseline.</t>
  </si>
  <si>
    <t>Reinforces India-resident deployment as the safe default for BFSI regardless of the DPDP negative-list.</t>
  </si>
  <si>
    <t>IndiaAI Mission / Make in India</t>
  </si>
  <si>
    <t>Government funding for indigenous India-specific models; sovereignty and self-reliance push.</t>
  </si>
  <si>
    <t>Active</t>
  </si>
  <si>
    <t>Vendor-neutral gateway lets a bank route sensitive workloads to India-hosted / indigenous models. Aligns with Atmanirbhar procurement preference.</t>
  </si>
  <si>
    <t>2.  RBI FREE-AI  &gt;  ETHANA FEATURE MAPPING</t>
  </si>
  <si>
    <t>Sutra / Pillar / Rec</t>
  </si>
  <si>
    <t>What RBI expects</t>
  </si>
  <si>
    <t>Ethana feature</t>
  </si>
  <si>
    <t>Accountability + Governance (Rec 14: Board-Approved AI Policy)</t>
  </si>
  <si>
    <t>Enforce and evidence the board AI policy technically.</t>
  </si>
  <si>
    <t>Guardrails + Immutable Audit</t>
  </si>
  <si>
    <t>Governance (Rec 15: Data Lifecycle Governance)</t>
  </si>
  <si>
    <t>Govern data across the AI lifecycle.</t>
  </si>
  <si>
    <t>Gateway + PII Guardrails + Audit</t>
  </si>
  <si>
    <t>Contributes</t>
  </si>
  <si>
    <t>Understandable by Design (Explainability)</t>
  </si>
  <si>
    <t>Audit trails documenting how AI reaches conclusions; reject non-explainable solutions.</t>
  </si>
  <si>
    <t>Immutable Audit Trail (+ Hallucination Detection)</t>
  </si>
  <si>
    <t>Direct</t>
  </si>
  <si>
    <t>Protection pillar</t>
  </si>
  <si>
    <t>Disclosures, bias mitigation, grievance, AI-aware cybersecurity.</t>
  </si>
  <si>
    <t>Guardrails (PII, Bias, Toxicity, Injection)</t>
  </si>
  <si>
    <t>Assurance pillar</t>
  </si>
  <si>
    <t>Independent audits, impact assessments, continuous monitoring.</t>
  </si>
  <si>
    <t>Red Teaming + Hallucination + Audit</t>
  </si>
  <si>
    <t>Infrastructure / inventory step</t>
  </si>
  <si>
    <t>Inventory every AI deployment in production and pilot.</t>
  </si>
  <si>
    <t>Discovery (Shadow AI)</t>
  </si>
  <si>
    <t>Safety, Resilience &amp; Sustainability</t>
  </si>
  <si>
    <t>Secure, resilient AI systems.</t>
  </si>
  <si>
    <t>Guardrails + Red Teaming</t>
  </si>
  <si>
    <t>Infrastructure (Rec 4: Indigenous models)</t>
  </si>
  <si>
    <t>Support India-specific financial-sector AI models.</t>
  </si>
  <si>
    <t>Vendor-Neutral Gateway (model routing)</t>
  </si>
  <si>
    <t>3.  THE DATA-SOVEREIGNTY WEDGE  (talk track)</t>
  </si>
  <si>
    <t>The India thesis</t>
  </si>
  <si>
    <t>Indian BFSI regulation is converging on data sovereignty plus accountability that cannot be outsourced. For domestic accounts the wedge is the deployment model, not a feature list.</t>
  </si>
  <si>
    <t>Lead line</t>
  </si>
  <si>
    <t>'Ethana deploys on-prem or in your India VPC, so customer and payment data never leave your infrastructure or RBI's audit reach. You get model choice without cross-border exposure.'</t>
  </si>
  <si>
    <t>Answer to 'we are reluctant to give data'</t>
  </si>
  <si>
    <t>PII masking at the gateway strips PAN, Aadhaar and account identifiers before any model call, so even a foreign LLM never receives the localised data. The sensitive payload stays in India.</t>
  </si>
  <si>
    <t>Competitive angle</t>
  </si>
  <si>
    <t>Global SaaS governance/observability tools (Bedrock, Portkey, Helicone, Langfuse) route data through foreign infrastructure and collide with the RBI outsourcing direction on day one. India-resident deployment is the differentiator they cannot easily match.</t>
  </si>
  <si>
    <t>FREE-AI hook</t>
  </si>
  <si>
    <t>The immutable audit trail is exactly the 'audit trail documenting how AI reaches conclusions' RBI asks for. Build the foundation now while FREE-AI is advisory, before it becomes a Master Direction.</t>
  </si>
  <si>
    <t>Make in India hook</t>
  </si>
  <si>
    <t>The vendor-neutral gateway lets a bank route sensitive workloads to India-hosted or indigenous models (IndiaAI Mission), supporting the Atmanirbhar procurement preference.</t>
  </si>
  <si>
    <t>Wedge order for Indian accounts</t>
  </si>
  <si>
    <t>Deployment + localization + audit FIRST, then guardrails. Reverse of the EU order, because in India the procurement gate and the differentiator are the same thing: data stays in country.</t>
  </si>
  <si>
    <t>4.  HONEST CAVEATS  (read before pitching the India angle)</t>
  </si>
  <si>
    <t>•</t>
  </si>
  <si>
    <t>On-prem deployment at G-SIB / large-bank scale is stated as supported but NOT proven in the available evidence. This entire wedge rests on deployment - scope a joint validation, never assert proven scale.</t>
  </si>
  <si>
    <t>Discovery (the FREE-AI inventory step) is ROADMAP. Use the inventory narrative for urgency; do not present the tooling as available.</t>
  </si>
  <si>
    <t>FREE-AI is advisory, not yet a binding Master Direction. Position to its intent and say so.</t>
  </si>
  <si>
    <t>DPDP substantive provisions commence ~18 months from 13 Nov 2025 (mid-2027), with possible acceleration. State timing as staggered, not immediate.</t>
  </si>
  <si>
    <t>Read before every first meeting. Every line below is a credibility trap if represented as live.</t>
  </si>
  <si>
    <t>Item</t>
  </si>
  <si>
    <t>Reality</t>
  </si>
  <si>
    <t>Classification</t>
  </si>
  <si>
    <t>Sales Consequence</t>
  </si>
  <si>
    <t>SOC 2 Type II</t>
  </si>
  <si>
    <t>In progress, not complete.</t>
  </si>
  <si>
    <t>Hard procurement blocker in BFSI; likely in insurance/healthcare/government. Confirm status before any TPRM step.</t>
  </si>
  <si>
    <t>ISO 27001</t>
  </si>
  <si>
    <t>Confirm current &amp; complete with product team before citing in proposals.</t>
  </si>
  <si>
    <t>On-prem at G-SIB scale</t>
  </si>
  <si>
    <t>Stated as supported; not demonstrated at bank scale in evidence.</t>
  </si>
  <si>
    <t>Position as supported; scope a joint validation rather than asserting proven scale.</t>
  </si>
  <si>
    <t>'Live in 15 minutes'</t>
  </si>
  <si>
    <t>Stated in brochure; not demonstrated under enterprise conditions.</t>
  </si>
  <si>
    <t>Never quote as enterprise timeline - change management dominates regardless of technical speed.</t>
  </si>
  <si>
    <t>AI Asset Discovery</t>
  </si>
  <si>
    <t>Entire capability roadmap; connector layer in build, IdP connector first.</t>
  </si>
  <si>
    <t>Use narrative for urgency only; never imply availability without a confirmed timeline.</t>
  </si>
  <si>
    <t>AI Firewall (egress DLP)</t>
  </si>
  <si>
    <t>In build; Zscaler/Netskope integration not in production.</t>
  </si>
  <si>
    <t>Do not present as a deliverable network control.</t>
  </si>
  <si>
    <t>Ethana Edge</t>
  </si>
  <si>
    <t>Beta; PAN-ID demo shown but stated beta by product team.</t>
  </si>
  <si>
    <t>Second-phase only; requires HR/employment-law sign-off; never lead in regulated pitches.</t>
  </si>
  <si>
    <t>Governance Policy Engine (OPA/Rego)</t>
  </si>
  <si>
    <t>In build.</t>
  </si>
  <si>
    <t>Guardrail rules are not yet managed via signed policy bundles as described - do not claim that workflow.</t>
  </si>
  <si>
    <t>Compliance Evidence Export</t>
  </si>
  <si>
    <t>In build (EU AI Act / ISO 42001 / NIST AI RMF one-click export).</t>
  </si>
  <si>
    <t>Critical for government once live; do not promise for current deals.</t>
  </si>
  <si>
    <t>NHI for agents (ephemeral tokens)</t>
  </si>
  <si>
    <t>In build; agents currently reuse user credentials.</t>
  </si>
  <si>
    <t>Disclose the credential-reuse gap to enterprise security reviewers.</t>
  </si>
  <si>
    <t>Prompt Management live proof</t>
  </si>
  <si>
    <t>Documented; no live demo in evidence.</t>
  </si>
  <si>
    <t>Qualify openly; expect and welcome a product-team demo request.</t>
  </si>
  <si>
    <t>Hallucination Detection live proof</t>
  </si>
  <si>
    <t>Documented; not demonstrated; scoring mechanism opaque.</t>
  </si>
  <si>
    <t>Position as a monitoring control, not a validation framework or accuracy guarantee.</t>
  </si>
  <si>
    <t>Per-user / GPU cost attribution</t>
  </si>
  <si>
    <t>Cost governance is per-project today; do not promise per-user FinOps.</t>
  </si>
  <si>
    <t>Red Teaming CI/CD gate</t>
  </si>
  <si>
    <t>Orchestrator is real; the pipeline gate is not - do not promise CI/CD enforcement.</t>
  </si>
  <si>
    <t>PRIMARY-SOURCE  RESOURCE  LIBRARY</t>
  </si>
  <si>
    <t>Curated from robertfels/iso-42001-aims-links-and-resources (MIT). Primary sources to cite in TPRM responses, executive briefings and discovery. Information only, not legal advice.</t>
  </si>
  <si>
    <t>Category</t>
  </si>
  <si>
    <t>Resource</t>
  </si>
  <si>
    <t>Lang</t>
  </si>
  <si>
    <t>Link</t>
  </si>
  <si>
    <t>Why it is useful in the sale / TPRM</t>
  </si>
  <si>
    <t>Standards &amp; Terminology</t>
  </si>
  <si>
    <t>ISO Online Browsing Platform (OBP)</t>
  </si>
  <si>
    <t>EN</t>
  </si>
  <si>
    <t>https://www.iso.org/obp</t>
  </si>
  <si>
    <t>Official ISO terminology; settle definition disputes with a risk reviewer authoritatively.</t>
  </si>
  <si>
    <t>AI Standards Hub (search: 42001)</t>
  </si>
  <si>
    <t>https://aistandardshub.org/site-search/?_sf_s=42001</t>
  </si>
  <si>
    <t>Central index of AI standards; orient a prospect's compliance team quickly.</t>
  </si>
  <si>
    <t>ISO 42001 vs 27001 vs 9001 analysis</t>
  </si>
  <si>
    <t>https://elevateconsult.com/insights/how-iso-42001-overlaps-with-iso-27001-and-iso-9001/</t>
  </si>
  <si>
    <t>Explains overlap; helps a buyer who has 27001 see the 42001 delta Ethana supports.</t>
  </si>
  <si>
    <t>Complementary Standards</t>
  </si>
  <si>
    <t>ISO/IEC 23894 (AI risk management)</t>
  </si>
  <si>
    <t>https://www.iso.org/standard/77304.html</t>
  </si>
  <si>
    <t>The risk-management companion to 42001; frame Red Teaming + impact assessment.</t>
  </si>
  <si>
    <t>ISO/IEC 42005 (AI impact assessment)</t>
  </si>
  <si>
    <t>Impact-assessment standard; ties to guardrails/audit evidence in high-risk use cases.</t>
  </si>
  <si>
    <t>EU AI Act official text</t>
  </si>
  <si>
    <t>DE</t>
  </si>
  <si>
    <t>https://eur-lex.europa.eu/legal-content/DE/TXT/HTML/?uri=OJ:L_202401689#cpt_I</t>
  </si>
  <si>
    <t>Primary legal text; cite Art.12/15/72 precisely against audit, guardrails, monitoring.</t>
  </si>
  <si>
    <t>European AI Office</t>
  </si>
  <si>
    <t>https://digital-strategy.ec.europa.eu/en/policies/ai-office</t>
  </si>
  <si>
    <t>Regulator context for insurance/automated-underwriting urgency.</t>
  </si>
  <si>
    <t>IAPP Global AI Law &amp; Policy Tracker</t>
  </si>
  <si>
    <t>EN/PDF</t>
  </si>
  <si>
    <t>https://iapp.org/media/pdf/resource_center/global_ai_law_policy_tracker.pdf</t>
  </si>
  <si>
    <t>Multi-jurisdiction view for UK/EU5/Middle East expansion qualification.</t>
  </si>
  <si>
    <t>Risk Management</t>
  </si>
  <si>
    <t>MIT AI Risk Repository</t>
  </si>
  <si>
    <t>https://airisk.mit.edu/</t>
  </si>
  <si>
    <t>Catalogue of AI failure modes; ground a discovery conversation in real risk, not hype.</t>
  </si>
  <si>
    <t>UK AI Management Essentials (self-assessment)</t>
  </si>
  <si>
    <t>https://assets.publishing.service.gov.uk/media/672a5706094e4e60c466d19f/AI_Management_Essentials_tool_Self-Assessment.pdf</t>
  </si>
  <si>
    <t>Free maturity self-check; use to expose a prospect's governance gap pre-pilot.</t>
  </si>
  <si>
    <t>Security</t>
  </si>
  <si>
    <t>MITRE ATLAS</t>
  </si>
  <si>
    <t>https://atlas.mitre.org/</t>
  </si>
  <si>
    <t>Adversarial threat landscape for AI; back the Red Teaming positioning with a recognised taxonomy.</t>
  </si>
  <si>
    <t>AI Incident Database</t>
  </si>
  <si>
    <t>https://incidentdatabase.ai/</t>
  </si>
  <si>
    <t>Real incidents; create urgency with evidence instead of fear.</t>
  </si>
  <si>
    <t>OECD AI Incidents Monitor</t>
  </si>
  <si>
    <t>https://oecd.ai/en/incidents</t>
  </si>
  <si>
    <t>Regulator-grade incident tracking for executive briefings.</t>
  </si>
  <si>
    <t>Ethics &amp; Governance</t>
  </si>
  <si>
    <t>OECD AI Principles</t>
  </si>
  <si>
    <t>https://oecd.ai/en/ai-principles</t>
  </si>
  <si>
    <t>Globally accepted principles; anchor the governance narrative neutrally.</t>
  </si>
  <si>
    <t>EU Ethics Guidelines for Trustworthy AI</t>
  </si>
  <si>
    <t>https://digital-strategy.ec.europa.eu/en/library/ethics-guidelines-trustworthy-ai</t>
  </si>
  <si>
    <t>Trustworthy-AI criteria that map to guardrails, transparency, oversight.</t>
  </si>
  <si>
    <t>Microsoft Responsible AI Standard</t>
  </si>
  <si>
    <t>https://msblogs.thesourcemediaassets.com/sites/5/2022/06/Microsoft-Responsible-AI-Standard-v2-General-Requirements-3.pdf</t>
  </si>
  <si>
    <t>Enterprise RAI template; shows what a mature buyer expects a control layer to support.</t>
  </si>
  <si>
    <t>IAPP AI Governance in Practice 2024</t>
  </si>
  <si>
    <t>https://iapp.org/media/pdf/resource_center/ai_governance_in_practice_report_2024.pdf</t>
  </si>
  <si>
    <t>Benchmark of peer programs; useful in CRO/CISO conversations.</t>
  </si>
  <si>
    <t>CIPL Building Accountable AI Programs</t>
  </si>
  <si>
    <t>https://www.informationpolicycentre.com/uploads/5/7/1/0/57104281/cipl_building_accountable_ai_programs_23_feb_2024.pdf</t>
  </si>
  <si>
    <t>Accountability framework; positions Ethana as the enforcement+evidence layer.</t>
  </si>
  <si>
    <t>Certification Bodies</t>
  </si>
  <si>
    <t>DEKRA - ISO 42001</t>
  </si>
  <si>
    <t>https://www.dekra.com/en/iso-42001-ai-management-systems/</t>
  </si>
  <si>
    <t>Accredited certifier; reference when a buyer asks who certifies an AIMS.</t>
  </si>
  <si>
    <t>SGS - ISO/IEC 42001</t>
  </si>
  <si>
    <t>https://www.sgs.com/en-us/services/iso-iec-42001-certification-artificial-intelligence-ai-management-system</t>
  </si>
  <si>
    <t>Alternative certifier for the buyer's own AIMS path.</t>
  </si>
  <si>
    <t>TUV SUD - ISO/IEC 42001</t>
  </si>
  <si>
    <t>https://www.tuvsud.com/en/services/auditing-and-system-certification/iso-iec-42001</t>
  </si>
  <si>
    <t>Certifier widely recognised in EU manufacturing/finance.</t>
  </si>
  <si>
    <t>EU AI Act / Omnibus</t>
  </si>
  <si>
    <t>EU Council press release - AI rules simplified (7 May 2026)</t>
  </si>
  <si>
    <t>Gibson Dunn - Omnibus postponed high-risk deadlines</t>
  </si>
  <si>
    <t>https://www.gibsondunn.com/eu-ai-act-omnibus-agreement-postponed-high-risk-deadlines-and-other-key-changes/</t>
  </si>
  <si>
    <t>Clearest dated timeline table (2 Dec 2027 / 2 Aug 2028). Use to brief a CRO precisely.</t>
  </si>
  <si>
    <t>IAPP - AI Act Omnibus: what just happened (Casovan)</t>
  </si>
  <si>
    <t>https://iapp.org/news/a/ai-act-omnibus-what-just-happened-and-what-comes-next</t>
  </si>
  <si>
    <t>Governance-professional read; credible with a prospect's privacy/AI governance lead.</t>
  </si>
  <si>
    <t>Hogan Lovells - EU delay for high-risk AI rules</t>
  </si>
  <si>
    <t>https://www.hoganlovells.com/en/publications/eu-legislators-agree-to-delay-for-highrisk-ai-rules</t>
  </si>
  <si>
    <t>Second legal corroboration for the deferral; useful in writing.</t>
  </si>
  <si>
    <t>Pinsent Masons - high-risk AI delayed under omnibus</t>
  </si>
  <si>
    <t>https://www.pinsentmasons.com/out-law/news/rules-high-risk-ai-delayed-under-eu-omnibus-deal</t>
  </si>
  <si>
    <t>Concise client-facing summary for a leave-behind.</t>
  </si>
  <si>
    <t>Your thought leadership</t>
  </si>
  <si>
    <t>AJ - 'The Governance Gap' (Edition 1)</t>
  </si>
  <si>
    <t>https://www.linkedin.com/pulse/governance-gap-edition-1-ajay-raj-singh-shekhawat-pwatc/</t>
  </si>
  <si>
    <t>India / RBI</t>
  </si>
  <si>
    <t>RBI FREE-AI Committee Report (Aug 2025)</t>
  </si>
  <si>
    <t>https://www.rbi.org.in/</t>
  </si>
  <si>
    <t>Primary RBI source. Cite the 7 sutras and audit-trail/explainability recommendations to a CRO.</t>
  </si>
  <si>
    <t>KPMG - RBI FREE-AI report summary</t>
  </si>
  <si>
    <t>https://kpmg.com/in/en/insights/2025/08/rbi-free-ai-committee-report-on-framework-for-responsible-and-ethical-enablement-of-artificial-intelligence.html</t>
  </si>
  <si>
    <t>Readable summary of sutras, pillars and 26 recommendations for a briefing.</t>
  </si>
  <si>
    <t>RBI Master Direction - IT Outsourcing / data localization (Google Cloud mapping)</t>
  </si>
  <si>
    <t>https://cloud.google.com/security/compliance/rbi-india</t>
  </si>
  <si>
    <t>Frames the local-only storage and cross-border prohibition that anchors the deployment wedge.</t>
  </si>
  <si>
    <t>India / DPDP</t>
  </si>
  <si>
    <t>DPDP Rules 2025 - cross-border (Rule 15)</t>
  </si>
  <si>
    <t>https://www.dpdpa.com/dpdparules/rule15.html</t>
  </si>
  <si>
    <t>Negative-list transfer model and Section 17 sectoral power. Use for the localization conversation.</t>
  </si>
  <si>
    <t>India / Policy</t>
  </si>
  <si>
    <t>IndiaAI Mission</t>
  </si>
  <si>
    <t>https://indiaai.gov.in/</t>
  </si>
  <si>
    <t>Make-in-India / indigenous-model context for the sovereignty and procurement-preference angle.</t>
  </si>
  <si>
    <t>Source:</t>
  </si>
  <si>
    <t>robertfels/iso-42001-aims-links-and-resources (MIT licence). Curated subset selected for BFSI/regulated sales relevance.</t>
  </si>
  <si>
    <t>verified in source set.</t>
  </si>
  <si>
    <t>Ajay own published analysis. Lead EU-exposed outreach with this, not a deck.</t>
  </si>
  <si>
    <t>Confirmed = in production per board briefing or shown in demo.  In development  = documented but not proven live.  Partial = core shipped, a named sub-capability still in build.  Beta = demonstrated but stated as beta.  Roadmap = not in production. Never represent In development , Beta or Roadmap as live functionality. Lead a feature only at a fit level its evidence status can defend.</t>
  </si>
  <si>
    <t xml:space="preserve">In development </t>
  </si>
  <si>
    <t>Features 1-3 are the confirmed-in-production wedge for regulated industries: a gateway + guardrails + immutable audit trail unblocks a stalled deployment and every claim is defensible. Features 5,6 are In development  - use to deepen a live conversation, never as the door-opener. Feature 9 is Roadmap everywhere (Hold). Feature 10 is Beta - never lead in BFSI/insurance/healthcare/government because of employee-monitoring and HR/employment-law exposure.</t>
  </si>
  <si>
    <t>Change-control evidence for AI behaviour. In development , not demo-proven - qualify openly.</t>
  </si>
  <si>
    <t>Monitoring control, NOT a validation framework. In development ; scoring mechanism opaque.</t>
  </si>
  <si>
    <t>Adversarial + quality-test evidence. CI/CD gate roadmap; PromptOps &amp; Hallucination are In development .</t>
  </si>
  <si>
    <t>Change-control evidence for prompt behaviour. In development , not demo-proven; qualify.</t>
  </si>
  <si>
    <t>Monitoring control, not a validation framework. In development ; scoring mechanism opaque.</t>
  </si>
  <si>
    <t>In development ; positions as drift monitoring, confirm mechanism with product team.</t>
  </si>
  <si>
    <t>Confirm SOC 2 Type II (in progress), ISO 27001 (verified), and any CERT-In / MeitY empanelment posture before Indian BFSI procurement - these gate the vendor assessment.</t>
  </si>
  <si>
    <t>Documented and in development</t>
  </si>
  <si>
    <t>Documented not proven live</t>
  </si>
  <si>
    <t>ETHANA  -  FEATURE-LED ACCOUNT TARGETING TRACKER</t>
  </si>
  <si>
    <t>PROCUREMENT GATES - confirm BEFORE first enterprise meeting</t>
  </si>
  <si>
    <t>FEATURE  CATALOGUE  -  evidence, scores, positioning</t>
  </si>
  <si>
    <t>CONTROL  &gt;  FEATURE  RESPONSE  -  answer a gap list control by control</t>
  </si>
  <si>
    <t>ISO/IEC 42001:2023  -  Annex A controls</t>
  </si>
  <si>
    <t>NIST AI RMF 1.0  -  GOVERN / MAP / MEASURE / MANAGE</t>
  </si>
  <si>
    <t>ACCOUNT  &gt;  FEATURE  MAP  -  one wedge feature per account</t>
  </si>
  <si>
    <t>INDUSTRY  PLAYBOOK  -  entry points &amp; regulatory mapping</t>
  </si>
  <si>
    <t>EU AI ACT  -  POST-OMNIBUS TIMELINE &amp; TALK TRACK</t>
  </si>
  <si>
    <t>INDIA  -  RBI / DPDP REGULATORY MAPPING &amp; DATA-SOVEREIGNTY WEDGE</t>
  </si>
  <si>
    <t>EVIDENCE  &amp;  RISK  REGISTER  -  claims you may not make</t>
  </si>
  <si>
    <t>SOC 2 Type II is IN PROGRESS, not complete. This is a hard procurement blocker in BFSI and a likely one in insurance, healthcare and government. ISO 27001 verified live on website as well+B12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</si>
</sst>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charset val="1"/>
    </font>
    <font>
      <b/>
      <sz val="15"/>
      <color rgb="FFFFFFFF"/>
      <name val="Arial"/>
      <family val="2"/>
    </font>
    <font>
      <i/>
      <sz val="9"/>
      <color rgb="FFFFFFFF"/>
      <name val="Arial"/>
      <family val="2"/>
    </font>
    <font>
      <b/>
      <sz val="9"/>
      <color rgb="FF141E48"/>
      <name val="Arial"/>
      <family val="2"/>
    </font>
    <font>
      <sz val="9"/>
      <color rgb="FF1A1A1A"/>
      <name val="Arial"/>
      <family val="2"/>
    </font>
    <font>
      <b/>
      <sz val="9"/>
      <color rgb="FF1E7A46"/>
      <name val="Arial"/>
      <family val="2"/>
    </font>
    <font>
      <sz val="9"/>
      <color rgb="FF555555"/>
      <name val="Arial"/>
      <family val="2"/>
    </font>
    <font>
      <b/>
      <sz val="9"/>
      <color rgb="FF9A6A00"/>
      <name val="Arial"/>
      <family val="2"/>
    </font>
    <font>
      <b/>
      <sz val="9"/>
      <color rgb="FFB5530A"/>
      <name val="Arial"/>
      <family val="2"/>
    </font>
    <font>
      <b/>
      <sz val="9"/>
      <color rgb="FFA32020"/>
      <name val="Arial"/>
      <family val="2"/>
    </font>
    <font>
      <b/>
      <sz val="9"/>
      <color rgb="FFFFFFFF"/>
      <name val="Arial"/>
      <family val="2"/>
    </font>
    <font>
      <b/>
      <sz val="9"/>
      <color rgb="FF1A1A1A"/>
      <name val="Arial"/>
      <family val="2"/>
    </font>
    <font>
      <b/>
      <sz val="9"/>
      <color rgb="FF555555"/>
      <name val="Arial"/>
      <family val="2"/>
    </font>
    <font>
      <sz val="9"/>
      <color rgb="FF000000"/>
      <name val="Arial"/>
      <family val="2"/>
    </font>
    <font>
      <sz val="9"/>
      <color rgb="FFA32020"/>
      <name val="Arial"/>
      <family val="2"/>
    </font>
    <font>
      <b/>
      <sz val="10"/>
      <color rgb="FFFFFFFF"/>
      <name val="Arial"/>
      <family val="2"/>
    </font>
    <font>
      <b/>
      <sz val="9"/>
      <color rgb="FF1F4E79"/>
      <name val="Arial"/>
      <family val="2"/>
    </font>
    <font>
      <sz val="9"/>
      <color rgb="FF9A6A00"/>
      <name val="Arial"/>
      <family val="2"/>
    </font>
    <font>
      <b/>
      <sz val="9"/>
      <color rgb="FF000000"/>
      <name val="Arial"/>
      <family val="2"/>
    </font>
    <font>
      <u/>
      <sz val="8"/>
      <color rgb="FF1155CC"/>
      <name val="Arial"/>
      <family val="2"/>
    </font>
  </fonts>
  <fills count="12">
    <fill>
      <patternFill patternType="none"/>
    </fill>
    <fill>
      <patternFill patternType="gray125"/>
    </fill>
    <fill>
      <patternFill patternType="solid">
        <fgColor rgb="FF141E48"/>
        <bgColor rgb="FF1A1A1A"/>
      </patternFill>
    </fill>
    <fill>
      <patternFill patternType="solid">
        <fgColor rgb="FF0F374E"/>
        <bgColor rgb="FF141E48"/>
      </patternFill>
    </fill>
    <fill>
      <patternFill patternType="solid">
        <fgColor rgb="FFEEF1F6"/>
        <bgColor rgb="FFF7F9FC"/>
      </patternFill>
    </fill>
    <fill>
      <patternFill patternType="solid">
        <fgColor rgb="FFD6EADF"/>
        <bgColor rgb="FFDCE6F1"/>
      </patternFill>
    </fill>
    <fill>
      <patternFill patternType="solid">
        <fgColor rgb="FFFBF0D6"/>
        <bgColor rgb="FFFBE4D0"/>
      </patternFill>
    </fill>
    <fill>
      <patternFill patternType="solid">
        <fgColor rgb="FFFBE4D0"/>
        <bgColor rgb="FFF6D9D9"/>
      </patternFill>
    </fill>
    <fill>
      <patternFill patternType="solid">
        <fgColor rgb="FFF6D9D9"/>
        <bgColor rgb="FFFBE4D0"/>
      </patternFill>
    </fill>
    <fill>
      <patternFill patternType="solid">
        <fgColor rgb="FF1E7A46"/>
        <bgColor rgb="FF008080"/>
      </patternFill>
    </fill>
    <fill>
      <patternFill patternType="solid">
        <fgColor rgb="FFF7F9FC"/>
        <bgColor rgb="FFFFFFFF"/>
      </patternFill>
    </fill>
    <fill>
      <patternFill patternType="solid">
        <fgColor rgb="FFDCE6F1"/>
        <bgColor rgb="FFD6EADF"/>
      </patternFill>
    </fill>
  </fills>
  <borders count="5">
    <border>
      <left/>
      <right/>
      <top/>
      <bottom/>
      <diagonal/>
    </border>
    <border>
      <left style="thin">
        <color rgb="FFC9D1DC"/>
      </left>
      <right style="thin">
        <color rgb="FFC9D1DC"/>
      </right>
      <top style="thin">
        <color rgb="FFC9D1DC"/>
      </top>
      <bottom style="thin">
        <color rgb="FFC9D1DC"/>
      </bottom>
      <diagonal/>
    </border>
    <border>
      <left style="thin">
        <color rgb="FFC9D1DC"/>
      </left>
      <right/>
      <top style="thin">
        <color rgb="FFC9D1DC"/>
      </top>
      <bottom style="thin">
        <color rgb="FFC9D1DC"/>
      </bottom>
      <diagonal/>
    </border>
    <border>
      <left/>
      <right/>
      <top style="thin">
        <color rgb="FFC9D1DC"/>
      </top>
      <bottom style="thin">
        <color rgb="FFC9D1DC"/>
      </bottom>
      <diagonal/>
    </border>
    <border>
      <left/>
      <right style="thin">
        <color rgb="FFC9D1DC"/>
      </right>
      <top style="thin">
        <color rgb="FFC9D1DC"/>
      </top>
      <bottom style="thin">
        <color rgb="FFC9D1DC"/>
      </bottom>
      <diagonal/>
    </border>
  </borders>
  <cellStyleXfs count="1">
    <xf numFmtId="0" fontId="0" fillId="0" borderId="0"/>
  </cellStyleXfs>
  <cellXfs count="55">
    <xf numFmtId="0" fontId="0" fillId="0" borderId="0" xfId="0"/>
    <xf numFmtId="0" fontId="4" fillId="0" borderId="1" xfId="0" applyFont="1" applyBorder="1" applyAlignment="1">
      <alignment horizontal="left" vertical="top" wrapText="1" indent="1"/>
    </xf>
    <xf numFmtId="0" fontId="14" fillId="10" borderId="1" xfId="0" applyFont="1" applyFill="1" applyBorder="1" applyAlignment="1">
      <alignment horizontal="left" vertical="top" wrapText="1" indent="1"/>
    </xf>
    <xf numFmtId="0" fontId="14" fillId="0" borderId="1" xfId="0" applyFont="1" applyBorder="1" applyAlignment="1">
      <alignment horizontal="left" vertical="top" wrapText="1" indent="1"/>
    </xf>
    <xf numFmtId="0" fontId="0" fillId="0" borderId="0" xfId="0"/>
    <xf numFmtId="0" fontId="10" fillId="2" borderId="1" xfId="0" applyFont="1" applyFill="1" applyBorder="1" applyAlignment="1">
      <alignment horizontal="center" vertical="center" wrapText="1"/>
    </xf>
    <xf numFmtId="0" fontId="13" fillId="10" borderId="1" xfId="0" applyFont="1" applyFill="1" applyBorder="1" applyAlignment="1">
      <alignment horizontal="left" vertical="top" wrapText="1" indent="1"/>
    </xf>
    <xf numFmtId="0" fontId="10" fillId="2" borderId="1" xfId="0" applyFont="1" applyFill="1" applyBorder="1" applyAlignment="1">
      <alignment horizontal="left" vertical="top" wrapText="1" indent="1"/>
    </xf>
    <xf numFmtId="0" fontId="6" fillId="0" borderId="1" xfId="0" applyFont="1" applyBorder="1" applyAlignment="1">
      <alignment horizontal="left" vertical="top" wrapText="1" indent="1"/>
    </xf>
    <xf numFmtId="0" fontId="15" fillId="3" borderId="2" xfId="0" applyFont="1" applyFill="1" applyBorder="1" applyAlignment="1">
      <alignment horizontal="left" vertical="center" indent="1"/>
    </xf>
    <xf numFmtId="0" fontId="13" fillId="0" borderId="1" xfId="0" applyFont="1" applyBorder="1" applyAlignment="1">
      <alignment horizontal="left" vertical="top" wrapText="1" indent="1"/>
    </xf>
    <xf numFmtId="0" fontId="2" fillId="3" borderId="0" xfId="0" applyFont="1" applyFill="1" applyAlignment="1">
      <alignment horizontal="left" vertical="center" indent="1"/>
    </xf>
    <xf numFmtId="0" fontId="1" fillId="2" borderId="0" xfId="0" applyFont="1" applyFill="1" applyAlignment="1">
      <alignment horizontal="left" vertical="center" indent="1"/>
    </xf>
    <xf numFmtId="0" fontId="3" fillId="4" borderId="1" xfId="0" applyFont="1" applyFill="1" applyBorder="1" applyAlignment="1">
      <alignment horizontal="left" vertical="center" indent="1"/>
    </xf>
    <xf numFmtId="0" fontId="4" fillId="0" borderId="1" xfId="0" applyFont="1" applyBorder="1" applyAlignment="1">
      <alignment horizontal="left" vertical="top" wrapText="1" indent="1"/>
    </xf>
    <xf numFmtId="0" fontId="4" fillId="4" borderId="1" xfId="0" applyFont="1" applyFill="1" applyBorder="1" applyAlignment="1">
      <alignment horizontal="left" vertical="top" wrapText="1" indent="1"/>
    </xf>
    <xf numFmtId="0" fontId="3" fillId="0" borderId="1" xfId="0" applyFont="1" applyBorder="1" applyAlignment="1">
      <alignment horizontal="left" vertical="top" wrapText="1" indent="1"/>
    </xf>
    <xf numFmtId="0" fontId="5" fillId="5" borderId="1" xfId="0" applyFont="1" applyFill="1" applyBorder="1" applyAlignment="1">
      <alignment horizontal="center" vertical="top" wrapText="1"/>
    </xf>
    <xf numFmtId="0" fontId="6" fillId="0" borderId="1" xfId="0" applyFont="1" applyBorder="1" applyAlignment="1">
      <alignment horizontal="left" vertical="top" wrapText="1" indent="1"/>
    </xf>
    <xf numFmtId="0" fontId="7" fillId="6" borderId="1" xfId="0" applyFont="1" applyFill="1" applyBorder="1" applyAlignment="1">
      <alignment horizontal="center" vertical="top" wrapText="1"/>
    </xf>
    <xf numFmtId="0" fontId="8" fillId="7" borderId="1" xfId="0" applyFont="1" applyFill="1" applyBorder="1" applyAlignment="1">
      <alignment horizontal="center" vertical="top" wrapText="1"/>
    </xf>
    <xf numFmtId="0" fontId="9" fillId="8" borderId="1" xfId="0" applyFont="1" applyFill="1" applyBorder="1" applyAlignment="1">
      <alignment horizontal="center" vertical="top" wrapText="1"/>
    </xf>
    <xf numFmtId="0" fontId="10" fillId="2" borderId="1" xfId="0" applyFont="1" applyFill="1" applyBorder="1" applyAlignment="1">
      <alignment horizontal="center" vertical="center" wrapText="1"/>
    </xf>
    <xf numFmtId="0" fontId="3" fillId="0" borderId="1" xfId="0" applyFont="1" applyBorder="1" applyAlignment="1">
      <alignment horizontal="center" vertical="top" wrapText="1"/>
    </xf>
    <xf numFmtId="0" fontId="11" fillId="0" borderId="1" xfId="0" applyFont="1" applyBorder="1" applyAlignment="1">
      <alignment horizontal="left" vertical="top" wrapText="1" indent="1"/>
    </xf>
    <xf numFmtId="0" fontId="10" fillId="9" borderId="1" xfId="0" applyFont="1" applyFill="1" applyBorder="1" applyAlignment="1">
      <alignment horizontal="center" vertical="top" wrapText="1"/>
    </xf>
    <xf numFmtId="0" fontId="6" fillId="0" borderId="1" xfId="0" applyFont="1" applyBorder="1" applyAlignment="1">
      <alignment horizontal="center" vertical="top" wrapText="1"/>
    </xf>
    <xf numFmtId="0" fontId="12" fillId="4" borderId="1" xfId="0" applyFont="1" applyFill="1" applyBorder="1" applyAlignment="1">
      <alignment horizontal="center" vertical="top" wrapText="1"/>
    </xf>
    <xf numFmtId="0" fontId="13" fillId="0" borderId="1" xfId="0" applyFont="1" applyBorder="1" applyAlignment="1">
      <alignment horizontal="left" vertical="top" wrapText="1" indent="1"/>
    </xf>
    <xf numFmtId="0" fontId="5" fillId="0" borderId="1" xfId="0" applyFont="1" applyBorder="1" applyAlignment="1">
      <alignment horizontal="center" vertical="top" wrapText="1"/>
    </xf>
    <xf numFmtId="0" fontId="7" fillId="0" borderId="1" xfId="0" applyFont="1" applyBorder="1" applyAlignment="1">
      <alignment horizontal="center" vertical="top" wrapText="1"/>
    </xf>
    <xf numFmtId="0" fontId="14" fillId="0" borderId="1" xfId="0" applyFont="1" applyBorder="1" applyAlignment="1">
      <alignment horizontal="left" vertical="top" wrapText="1" indent="1"/>
    </xf>
    <xf numFmtId="0" fontId="9" fillId="0" borderId="1" xfId="0" applyFont="1" applyBorder="1" applyAlignment="1">
      <alignment horizontal="center" vertical="top" wrapText="1"/>
    </xf>
    <xf numFmtId="0" fontId="3" fillId="10" borderId="1" xfId="0" applyFont="1" applyFill="1" applyBorder="1" applyAlignment="1">
      <alignment horizontal="center" vertical="top" wrapText="1"/>
    </xf>
    <xf numFmtId="0" fontId="11" fillId="10" borderId="1" xfId="0" applyFont="1" applyFill="1" applyBorder="1" applyAlignment="1">
      <alignment horizontal="left" vertical="top" wrapText="1" indent="1"/>
    </xf>
    <xf numFmtId="0" fontId="13" fillId="10" borderId="1" xfId="0" applyFont="1" applyFill="1" applyBorder="1" applyAlignment="1">
      <alignment horizontal="left" vertical="top" wrapText="1" indent="1"/>
    </xf>
    <xf numFmtId="0" fontId="6" fillId="10" borderId="1" xfId="0" applyFont="1" applyFill="1" applyBorder="1" applyAlignment="1">
      <alignment horizontal="left" vertical="top" wrapText="1" indent="1"/>
    </xf>
    <xf numFmtId="0" fontId="14" fillId="10" borderId="1" xfId="0" applyFont="1" applyFill="1" applyBorder="1" applyAlignment="1">
      <alignment horizontal="left" vertical="top" wrapText="1" indent="1"/>
    </xf>
    <xf numFmtId="0" fontId="16" fillId="11" borderId="1" xfId="0" applyFont="1" applyFill="1" applyBorder="1" applyAlignment="1">
      <alignment horizontal="center" vertical="top" wrapText="1"/>
    </xf>
    <xf numFmtId="0" fontId="3" fillId="10" borderId="1" xfId="0" applyFont="1" applyFill="1" applyBorder="1" applyAlignment="1">
      <alignment horizontal="left" vertical="top" wrapText="1" indent="1"/>
    </xf>
    <xf numFmtId="0" fontId="5" fillId="0" borderId="1" xfId="0" applyFont="1" applyBorder="1" applyAlignment="1">
      <alignment horizontal="left" vertical="top" wrapText="1" indent="1"/>
    </xf>
    <xf numFmtId="0" fontId="17" fillId="0" borderId="1" xfId="0" applyFont="1" applyBorder="1" applyAlignment="1">
      <alignment horizontal="left" vertical="top" wrapText="1" indent="1"/>
    </xf>
    <xf numFmtId="0" fontId="13" fillId="0" borderId="1" xfId="0" applyFont="1" applyBorder="1" applyAlignment="1">
      <alignment horizontal="center" vertical="top" wrapText="1"/>
    </xf>
    <xf numFmtId="0" fontId="18" fillId="0" borderId="1" xfId="0" applyFont="1" applyBorder="1" applyAlignment="1">
      <alignment horizontal="center" vertical="top" wrapText="1"/>
    </xf>
    <xf numFmtId="0" fontId="5" fillId="10" borderId="1" xfId="0" applyFont="1" applyFill="1" applyBorder="1" applyAlignment="1">
      <alignment horizontal="left" vertical="top" wrapText="1" indent="1"/>
    </xf>
    <xf numFmtId="0" fontId="17" fillId="10" borderId="1" xfId="0" applyFont="1" applyFill="1" applyBorder="1" applyAlignment="1">
      <alignment horizontal="left" vertical="top" wrapText="1" indent="1"/>
    </xf>
    <xf numFmtId="0" fontId="13" fillId="10" borderId="1" xfId="0" applyFont="1" applyFill="1" applyBorder="1" applyAlignment="1">
      <alignment horizontal="center" vertical="top" wrapText="1"/>
    </xf>
    <xf numFmtId="0" fontId="18" fillId="10" borderId="1" xfId="0" applyFont="1" applyFill="1" applyBorder="1" applyAlignment="1">
      <alignment horizontal="center" vertical="top" wrapText="1"/>
    </xf>
    <xf numFmtId="0" fontId="9" fillId="10" borderId="1" xfId="0" applyFont="1" applyFill="1" applyBorder="1" applyAlignment="1">
      <alignment horizontal="center" vertical="top" wrapText="1"/>
    </xf>
    <xf numFmtId="0" fontId="19" fillId="0" borderId="1" xfId="0" applyFont="1" applyBorder="1" applyAlignment="1">
      <alignment horizontal="left" vertical="top" wrapText="1" indent="1"/>
    </xf>
    <xf numFmtId="0" fontId="4" fillId="10" borderId="1" xfId="0" applyFont="1" applyFill="1" applyBorder="1" applyAlignment="1">
      <alignment horizontal="left" vertical="top" wrapText="1" indent="1"/>
    </xf>
    <xf numFmtId="0" fontId="6" fillId="10" borderId="1" xfId="0" applyFont="1" applyFill="1" applyBorder="1" applyAlignment="1">
      <alignment horizontal="center" vertical="top" wrapText="1"/>
    </xf>
    <xf numFmtId="0" fontId="19" fillId="10" borderId="1" xfId="0" applyFont="1" applyFill="1" applyBorder="1" applyAlignment="1">
      <alignment horizontal="left" vertical="top" wrapText="1" indent="1"/>
    </xf>
    <xf numFmtId="0" fontId="0" fillId="0" borderId="3" xfId="0" applyBorder="1"/>
    <xf numFmtId="0" fontId="0" fillId="0" borderId="4" xfId="0"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A6A00"/>
      <rgbColor rgb="FF800080"/>
      <rgbColor rgb="FF1E7A46"/>
      <rgbColor rgb="FFF7F9FC"/>
      <rgbColor rgb="FF808080"/>
      <rgbColor rgb="FF9999FF"/>
      <rgbColor rgb="FFB5530A"/>
      <rgbColor rgb="FFFBF0D6"/>
      <rgbColor rgb="FFDCE6F1"/>
      <rgbColor rgb="FF660066"/>
      <rgbColor rgb="FFFF8080"/>
      <rgbColor rgb="FF1155CC"/>
      <rgbColor rgb="FFC9D1DC"/>
      <rgbColor rgb="FF000080"/>
      <rgbColor rgb="FFFF00FF"/>
      <rgbColor rgb="FFFFFF00"/>
      <rgbColor rgb="FF00FFFF"/>
      <rgbColor rgb="FF800080"/>
      <rgbColor rgb="FF800000"/>
      <rgbColor rgb="FF008080"/>
      <rgbColor rgb="FF0000FF"/>
      <rgbColor rgb="FF00CCFF"/>
      <rgbColor rgb="FFEEF1F6"/>
      <rgbColor rgb="FFD6EADF"/>
      <rgbColor rgb="FFFBE4D0"/>
      <rgbColor rgb="FF99CCFF"/>
      <rgbColor rgb="FFFF99CC"/>
      <rgbColor rgb="FFCC99FF"/>
      <rgbColor rgb="FFF6D9D9"/>
      <rgbColor rgb="FF3366FF"/>
      <rgbColor rgb="FF33CCCC"/>
      <rgbColor rgb="FF99CC00"/>
      <rgbColor rgb="FFFFCC00"/>
      <rgbColor rgb="FFFF9900"/>
      <rgbColor rgb="FFFF6600"/>
      <rgbColor rgb="FF555555"/>
      <rgbColor rgb="FF969696"/>
      <rgbColor rgb="FF0F374E"/>
      <rgbColor rgb="FF339966"/>
      <rgbColor rgb="FF003300"/>
      <rgbColor rgb="FF1A1A1A"/>
      <rgbColor rgb="FFA32020"/>
      <rgbColor rgb="FF993366"/>
      <rgbColor rgb="FF1F4E79"/>
      <rgbColor rgb="FF141E4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1.xml.rels><?xml version="1.0" encoding="UTF-8" standalone="yes"?>
<Relationships xmlns="http://schemas.openxmlformats.org/package/2006/relationships"><Relationship Id="rId8" Type="http://schemas.openxmlformats.org/officeDocument/2006/relationships/hyperlink" Target="https://iapp.org/media/pdf/resource_center/global_ai_law_policy_tracker.pdf" TargetMode="External"/><Relationship Id="rId13" Type="http://schemas.openxmlformats.org/officeDocument/2006/relationships/hyperlink" Target="https://oecd.ai/en/incidents" TargetMode="External"/><Relationship Id="rId18" Type="http://schemas.openxmlformats.org/officeDocument/2006/relationships/hyperlink" Target="https://www.informationpolicycentre.com/uploads/5/7/1/0/57104281/cipl_building_accountable_ai_programs_23_feb_2024.pdf" TargetMode="External"/><Relationship Id="rId26" Type="http://schemas.openxmlformats.org/officeDocument/2006/relationships/hyperlink" Target="https://www.pinsentmasons.com/out-law/news/rules-high-risk-ai-delayed-under-eu-omnibus-deal" TargetMode="External"/><Relationship Id="rId3" Type="http://schemas.openxmlformats.org/officeDocument/2006/relationships/hyperlink" Target="https://elevateconsult.com/insights/how-iso-42001-overlaps-with-iso-27001-and-iso-9001/" TargetMode="External"/><Relationship Id="rId21" Type="http://schemas.openxmlformats.org/officeDocument/2006/relationships/hyperlink" Target="https://www.tuvsud.com/en/services/auditing-and-system-certification/iso-iec-42001" TargetMode="External"/><Relationship Id="rId7" Type="http://schemas.openxmlformats.org/officeDocument/2006/relationships/hyperlink" Target="https://digital-strategy.ec.europa.eu/en/policies/ai-office" TargetMode="External"/><Relationship Id="rId12" Type="http://schemas.openxmlformats.org/officeDocument/2006/relationships/hyperlink" Target="https://incidentdatabase.ai/" TargetMode="External"/><Relationship Id="rId17" Type="http://schemas.openxmlformats.org/officeDocument/2006/relationships/hyperlink" Target="https://iapp.org/media/pdf/resource_center/ai_governance_in_practice_report_2024.pdf" TargetMode="External"/><Relationship Id="rId25" Type="http://schemas.openxmlformats.org/officeDocument/2006/relationships/hyperlink" Target="https://www.hoganlovells.com/en/publications/eu-legislators-agree-to-delay-for-highrisk-ai-rules" TargetMode="External"/><Relationship Id="rId2" Type="http://schemas.openxmlformats.org/officeDocument/2006/relationships/hyperlink" Target="https://aistandardshub.org/site-search/?_sf_s=42001" TargetMode="External"/><Relationship Id="rId16" Type="http://schemas.openxmlformats.org/officeDocument/2006/relationships/hyperlink" Target="https://msblogs.thesourcemediaassets.com/sites/5/2022/06/Microsoft-Responsible-AI-Standard-v2-General-Requirements-3.pdf" TargetMode="External"/><Relationship Id="rId20" Type="http://schemas.openxmlformats.org/officeDocument/2006/relationships/hyperlink" Target="https://www.sgs.com/en-us/services/iso-iec-42001-certification-artificial-intelligence-ai-management-system" TargetMode="External"/><Relationship Id="rId29" Type="http://schemas.openxmlformats.org/officeDocument/2006/relationships/hyperlink" Target="https://kpmg.com/in/en/insights/2025/08/rbi-free-ai-committee-report-on-framework-for-responsible-and-ethical-enablement-of-artificial-intelligence.html" TargetMode="External"/><Relationship Id="rId1" Type="http://schemas.openxmlformats.org/officeDocument/2006/relationships/hyperlink" Target="https://www.iso.org/obp" TargetMode="External"/><Relationship Id="rId6" Type="http://schemas.openxmlformats.org/officeDocument/2006/relationships/hyperlink" Target="https://eur-lex.europa.eu/legal-content/DE/TXT/HTML/?uri=OJ:L_202401689" TargetMode="External"/><Relationship Id="rId11" Type="http://schemas.openxmlformats.org/officeDocument/2006/relationships/hyperlink" Target="https://atlas.mitre.org/" TargetMode="External"/><Relationship Id="rId24" Type="http://schemas.openxmlformats.org/officeDocument/2006/relationships/hyperlink" Target="https://iapp.org/news/a/ai-act-omnibus-what-just-happened-and-what-comes-next" TargetMode="External"/><Relationship Id="rId32" Type="http://schemas.openxmlformats.org/officeDocument/2006/relationships/hyperlink" Target="https://indiaai.gov.in/" TargetMode="External"/><Relationship Id="rId5" Type="http://schemas.openxmlformats.org/officeDocument/2006/relationships/hyperlink" Target="https://www.iso.org/obp" TargetMode="External"/><Relationship Id="rId15" Type="http://schemas.openxmlformats.org/officeDocument/2006/relationships/hyperlink" Target="https://digital-strategy.ec.europa.eu/en/library/ethics-guidelines-trustworthy-ai" TargetMode="External"/><Relationship Id="rId23" Type="http://schemas.openxmlformats.org/officeDocument/2006/relationships/hyperlink" Target="https://www.gibsondunn.com/eu-ai-act-omnibus-agreement-postponed-high-risk-deadlines-and-other-key-changes/" TargetMode="External"/><Relationship Id="rId28" Type="http://schemas.openxmlformats.org/officeDocument/2006/relationships/hyperlink" Target="https://www.rbi.org.in/" TargetMode="External"/><Relationship Id="rId10" Type="http://schemas.openxmlformats.org/officeDocument/2006/relationships/hyperlink" Target="https://assets.publishing.service.gov.uk/media/672a5706094e4e60c466d19f/AI_Management_Essentials_tool_Self-Assessment.pdf" TargetMode="External"/><Relationship Id="rId19" Type="http://schemas.openxmlformats.org/officeDocument/2006/relationships/hyperlink" Target="https://www.dekra.com/en/iso-42001-ai-management-systems/" TargetMode="External"/><Relationship Id="rId31" Type="http://schemas.openxmlformats.org/officeDocument/2006/relationships/hyperlink" Target="https://www.dpdpa.com/dpdparules/rule15.html" TargetMode="External"/><Relationship Id="rId4" Type="http://schemas.openxmlformats.org/officeDocument/2006/relationships/hyperlink" Target="https://www.iso.org/standard/77304.html" TargetMode="External"/><Relationship Id="rId9" Type="http://schemas.openxmlformats.org/officeDocument/2006/relationships/hyperlink" Target="https://airisk.mit.edu/" TargetMode="External"/><Relationship Id="rId14" Type="http://schemas.openxmlformats.org/officeDocument/2006/relationships/hyperlink" Target="https://oecd.ai/en/ai-principles" TargetMode="External"/><Relationship Id="rId22" Type="http://schemas.openxmlformats.org/officeDocument/2006/relationships/hyperlink" Target="https://www.consilium.europa.eu/en/press/press-releases/2026/05/07/artificial-intelligence-council-and-parliament-agree-to-simplify-and-streamline-rules/" TargetMode="External"/><Relationship Id="rId27" Type="http://schemas.openxmlformats.org/officeDocument/2006/relationships/hyperlink" Target="https://www.linkedin.com/pulse/governance-gap-edition-1-ajay-raj-singh-shekhawat-pwatc/" TargetMode="External"/><Relationship Id="rId30" Type="http://schemas.openxmlformats.org/officeDocument/2006/relationships/hyperlink" Target="https://cloud.google.com/security/compliance/rbi-in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133" zoomScaleNormal="100" workbookViewId="0">
      <selection activeCell="C7" sqref="C7"/>
    </sheetView>
  </sheetViews>
  <sheetFormatPr baseColWidth="10" defaultColWidth="8.6640625" defaultRowHeight="15" x14ac:dyDescent="0.2"/>
  <cols>
    <col min="1" max="1" width="3" customWidth="1"/>
    <col min="2" max="2" width="30" customWidth="1"/>
    <col min="3" max="3" width="90" customWidth="1"/>
  </cols>
  <sheetData>
    <row r="1" spans="1:12" ht="30" customHeight="1" x14ac:dyDescent="0.2">
      <c r="A1" s="12" t="s">
        <v>688</v>
      </c>
      <c r="B1" s="12"/>
      <c r="C1" s="12"/>
      <c r="D1" s="12"/>
      <c r="E1" s="12"/>
      <c r="F1" s="12"/>
      <c r="G1" s="12"/>
      <c r="H1" s="12"/>
      <c r="I1" s="12"/>
      <c r="J1" s="12"/>
      <c r="K1" s="12"/>
      <c r="L1" s="12"/>
    </row>
    <row r="2" spans="1:12" ht="18" customHeight="1" x14ac:dyDescent="0.2">
      <c r="A2" s="11" t="s">
        <v>0</v>
      </c>
      <c r="B2" s="11"/>
      <c r="C2" s="11"/>
      <c r="D2" s="11"/>
      <c r="E2" s="11"/>
      <c r="F2" s="11"/>
      <c r="G2" s="11"/>
      <c r="H2" s="11"/>
      <c r="I2" s="11"/>
      <c r="J2" s="11"/>
      <c r="K2" s="11"/>
      <c r="L2" s="11"/>
    </row>
    <row r="4" spans="1:12" ht="55.5" customHeight="1" x14ac:dyDescent="0.2">
      <c r="B4" s="13" t="s">
        <v>1</v>
      </c>
      <c r="C4" s="14" t="s">
        <v>2</v>
      </c>
    </row>
    <row r="5" spans="1:12" ht="165" customHeight="1" x14ac:dyDescent="0.2">
      <c r="B5" s="13" t="s">
        <v>3</v>
      </c>
      <c r="C5" s="14" t="s">
        <v>4</v>
      </c>
    </row>
    <row r="6" spans="1:12" ht="42" customHeight="1" x14ac:dyDescent="0.2">
      <c r="B6" s="13" t="s">
        <v>5</v>
      </c>
      <c r="C6" s="15" t="s">
        <v>676</v>
      </c>
    </row>
    <row r="7" spans="1:12" ht="42" customHeight="1" x14ac:dyDescent="0.2">
      <c r="B7" s="13" t="s">
        <v>689</v>
      </c>
      <c r="C7" s="15" t="s">
        <v>699</v>
      </c>
    </row>
    <row r="8" spans="1:12" ht="69.75" customHeight="1" x14ac:dyDescent="0.2">
      <c r="B8" s="13" t="s">
        <v>6</v>
      </c>
      <c r="C8" s="14" t="s">
        <v>7</v>
      </c>
    </row>
    <row r="10" spans="1:12" ht="15" customHeight="1" x14ac:dyDescent="0.2">
      <c r="B10" s="16" t="s">
        <v>8</v>
      </c>
    </row>
    <row r="11" spans="1:12" ht="15" customHeight="1" x14ac:dyDescent="0.2">
      <c r="B11" s="17" t="s">
        <v>9</v>
      </c>
      <c r="C11" s="18" t="s">
        <v>10</v>
      </c>
    </row>
    <row r="12" spans="1:12" ht="15" customHeight="1" x14ac:dyDescent="0.2">
      <c r="B12" s="19" t="s">
        <v>11</v>
      </c>
      <c r="C12" s="18" t="s">
        <v>687</v>
      </c>
    </row>
    <row r="13" spans="1:12" ht="15" customHeight="1" x14ac:dyDescent="0.2">
      <c r="B13" s="19" t="s">
        <v>677</v>
      </c>
      <c r="C13" s="18" t="s">
        <v>686</v>
      </c>
    </row>
    <row r="14" spans="1:12" ht="15" customHeight="1" x14ac:dyDescent="0.2">
      <c r="B14" s="20" t="s">
        <v>12</v>
      </c>
      <c r="C14" s="18" t="s">
        <v>13</v>
      </c>
    </row>
    <row r="15" spans="1:12" ht="15" customHeight="1" x14ac:dyDescent="0.2">
      <c r="B15" s="20" t="s">
        <v>14</v>
      </c>
      <c r="C15" s="18" t="s">
        <v>15</v>
      </c>
    </row>
    <row r="16" spans="1:12" ht="15" customHeight="1" x14ac:dyDescent="0.2">
      <c r="B16" s="21" t="s">
        <v>16</v>
      </c>
      <c r="C16" s="18" t="s">
        <v>17</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
  <sheetViews>
    <sheetView showGridLines="0" zoomScaleNormal="100" workbookViewId="0">
      <pane ySplit="3" topLeftCell="A4" activePane="bottomLeft" state="frozen"/>
      <selection pane="bottomLeft" activeCell="C9" sqref="C9"/>
    </sheetView>
  </sheetViews>
  <sheetFormatPr baseColWidth="10" defaultColWidth="8.6640625" defaultRowHeight="15" x14ac:dyDescent="0.2"/>
  <cols>
    <col min="1" max="1" width="4" customWidth="1"/>
    <col min="2" max="2" width="26" customWidth="1"/>
    <col min="3" max="3" width="15" customWidth="1"/>
    <col min="4" max="6" width="13" customWidth="1"/>
    <col min="7" max="7" width="14" customWidth="1"/>
    <col min="8" max="8" width="12" customWidth="1"/>
    <col min="9" max="9" width="14" customWidth="1"/>
    <col min="10" max="12" width="7" customWidth="1"/>
  </cols>
  <sheetData>
    <row r="1" spans="1:12" ht="30" customHeight="1" x14ac:dyDescent="0.2">
      <c r="A1" s="12" t="s">
        <v>18</v>
      </c>
      <c r="B1" s="12"/>
      <c r="C1" s="12"/>
      <c r="D1" s="12"/>
      <c r="E1" s="12"/>
      <c r="F1" s="12"/>
      <c r="G1" s="12"/>
      <c r="H1" s="12"/>
      <c r="I1" s="12"/>
      <c r="J1" s="12"/>
      <c r="K1" s="12"/>
      <c r="L1" s="12"/>
    </row>
    <row r="2" spans="1:12" ht="18" customHeight="1" x14ac:dyDescent="0.2">
      <c r="A2" s="11" t="s">
        <v>19</v>
      </c>
      <c r="B2" s="11"/>
      <c r="C2" s="11"/>
      <c r="D2" s="11"/>
      <c r="E2" s="11"/>
      <c r="F2" s="11"/>
      <c r="G2" s="11"/>
      <c r="H2" s="11"/>
      <c r="I2" s="11"/>
      <c r="J2" s="11"/>
      <c r="K2" s="11"/>
      <c r="L2" s="11"/>
    </row>
    <row r="3" spans="1:12" ht="30" customHeight="1" x14ac:dyDescent="0.2">
      <c r="A3" s="22" t="s">
        <v>20</v>
      </c>
      <c r="B3" s="22" t="s">
        <v>21</v>
      </c>
      <c r="C3" s="22" t="s">
        <v>22</v>
      </c>
      <c r="D3" s="22" t="s">
        <v>23</v>
      </c>
      <c r="E3" s="22" t="s">
        <v>24</v>
      </c>
      <c r="F3" s="22" t="s">
        <v>25</v>
      </c>
      <c r="G3" s="22" t="s">
        <v>26</v>
      </c>
      <c r="H3" s="22" t="s">
        <v>27</v>
      </c>
      <c r="I3" s="22" t="s">
        <v>28</v>
      </c>
      <c r="J3" s="22" t="s">
        <v>29</v>
      </c>
      <c r="K3" s="22" t="s">
        <v>30</v>
      </c>
      <c r="L3" s="22" t="s">
        <v>31</v>
      </c>
    </row>
    <row r="4" spans="1:12" ht="30" customHeight="1" x14ac:dyDescent="0.2">
      <c r="A4" s="23" t="s">
        <v>32</v>
      </c>
      <c r="B4" s="24" t="s">
        <v>33</v>
      </c>
      <c r="C4" s="17" t="s">
        <v>9</v>
      </c>
      <c r="D4" s="25" t="s">
        <v>34</v>
      </c>
      <c r="E4" s="17" t="s">
        <v>35</v>
      </c>
      <c r="F4" s="17" t="s">
        <v>35</v>
      </c>
      <c r="G4" s="25" t="s">
        <v>34</v>
      </c>
      <c r="H4" s="17" t="s">
        <v>35</v>
      </c>
      <c r="I4" s="17" t="s">
        <v>35</v>
      </c>
      <c r="J4" s="26" t="s">
        <v>36</v>
      </c>
      <c r="K4" s="26" t="s">
        <v>37</v>
      </c>
      <c r="L4" s="26" t="s">
        <v>36</v>
      </c>
    </row>
    <row r="5" spans="1:12" ht="30" customHeight="1" x14ac:dyDescent="0.2">
      <c r="A5" s="23" t="s">
        <v>38</v>
      </c>
      <c r="B5" s="24" t="s">
        <v>39</v>
      </c>
      <c r="C5" s="17" t="s">
        <v>9</v>
      </c>
      <c r="D5" s="25" t="s">
        <v>34</v>
      </c>
      <c r="E5" s="17" t="s">
        <v>35</v>
      </c>
      <c r="F5" s="25" t="s">
        <v>34</v>
      </c>
      <c r="G5" s="17" t="s">
        <v>35</v>
      </c>
      <c r="H5" s="17" t="s">
        <v>35</v>
      </c>
      <c r="I5" s="17" t="s">
        <v>35</v>
      </c>
      <c r="J5" s="26" t="s">
        <v>36</v>
      </c>
      <c r="K5" s="26" t="s">
        <v>36</v>
      </c>
      <c r="L5" s="26" t="s">
        <v>37</v>
      </c>
    </row>
    <row r="6" spans="1:12" ht="30" customHeight="1" x14ac:dyDescent="0.2">
      <c r="A6" s="23" t="s">
        <v>40</v>
      </c>
      <c r="B6" s="24" t="s">
        <v>41</v>
      </c>
      <c r="C6" s="17" t="s">
        <v>9</v>
      </c>
      <c r="D6" s="25" t="s">
        <v>34</v>
      </c>
      <c r="E6" s="25" t="s">
        <v>34</v>
      </c>
      <c r="F6" s="17" t="s">
        <v>35</v>
      </c>
      <c r="G6" s="25" t="s">
        <v>34</v>
      </c>
      <c r="H6" s="19" t="s">
        <v>42</v>
      </c>
      <c r="I6" s="19" t="s">
        <v>42</v>
      </c>
      <c r="J6" s="26" t="s">
        <v>36</v>
      </c>
      <c r="K6" s="26" t="s">
        <v>37</v>
      </c>
      <c r="L6" s="26" t="s">
        <v>36</v>
      </c>
    </row>
    <row r="7" spans="1:12" ht="30" customHeight="1" x14ac:dyDescent="0.2">
      <c r="A7" s="23" t="s">
        <v>43</v>
      </c>
      <c r="B7" s="24" t="s">
        <v>44</v>
      </c>
      <c r="C7" s="20" t="s">
        <v>12</v>
      </c>
      <c r="D7" s="19" t="s">
        <v>42</v>
      </c>
      <c r="E7" s="19" t="s">
        <v>42</v>
      </c>
      <c r="F7" s="19" t="s">
        <v>42</v>
      </c>
      <c r="G7" s="27" t="s">
        <v>45</v>
      </c>
      <c r="H7" s="17" t="s">
        <v>35</v>
      </c>
      <c r="I7" s="17" t="s">
        <v>35</v>
      </c>
      <c r="J7" s="26" t="s">
        <v>37</v>
      </c>
      <c r="K7" s="26" t="s">
        <v>46</v>
      </c>
      <c r="L7" s="26" t="s">
        <v>37</v>
      </c>
    </row>
    <row r="8" spans="1:12" ht="30" customHeight="1" x14ac:dyDescent="0.2">
      <c r="A8" s="23" t="s">
        <v>47</v>
      </c>
      <c r="B8" s="24" t="s">
        <v>48</v>
      </c>
      <c r="C8" s="19" t="s">
        <v>677</v>
      </c>
      <c r="D8" s="19" t="s">
        <v>42</v>
      </c>
      <c r="E8" s="19" t="s">
        <v>42</v>
      </c>
      <c r="F8" s="19" t="s">
        <v>42</v>
      </c>
      <c r="G8" s="19" t="s">
        <v>42</v>
      </c>
      <c r="H8" s="17" t="s">
        <v>35</v>
      </c>
      <c r="I8" s="17" t="s">
        <v>35</v>
      </c>
      <c r="J8" s="26" t="s">
        <v>36</v>
      </c>
      <c r="K8" s="26" t="s">
        <v>37</v>
      </c>
      <c r="L8" s="26" t="s">
        <v>36</v>
      </c>
    </row>
    <row r="9" spans="1:12" ht="30" customHeight="1" x14ac:dyDescent="0.2">
      <c r="A9" s="23" t="s">
        <v>49</v>
      </c>
      <c r="B9" s="24" t="s">
        <v>50</v>
      </c>
      <c r="C9" s="19" t="s">
        <v>677</v>
      </c>
      <c r="D9" s="17" t="s">
        <v>35</v>
      </c>
      <c r="E9" s="17" t="s">
        <v>35</v>
      </c>
      <c r="F9" s="25" t="s">
        <v>34</v>
      </c>
      <c r="G9" s="17" t="s">
        <v>35</v>
      </c>
      <c r="H9" s="19" t="s">
        <v>42</v>
      </c>
      <c r="I9" s="19" t="s">
        <v>42</v>
      </c>
      <c r="J9" s="26" t="s">
        <v>36</v>
      </c>
      <c r="K9" s="26" t="s">
        <v>37</v>
      </c>
      <c r="L9" s="26" t="s">
        <v>37</v>
      </c>
    </row>
    <row r="10" spans="1:12" ht="30" customHeight="1" x14ac:dyDescent="0.2">
      <c r="A10" s="23" t="s">
        <v>51</v>
      </c>
      <c r="B10" s="24" t="s">
        <v>52</v>
      </c>
      <c r="C10" s="20" t="s">
        <v>12</v>
      </c>
      <c r="D10" s="17" t="s">
        <v>35</v>
      </c>
      <c r="E10" s="19" t="s">
        <v>42</v>
      </c>
      <c r="F10" s="19" t="s">
        <v>42</v>
      </c>
      <c r="G10" s="17" t="s">
        <v>35</v>
      </c>
      <c r="H10" s="17" t="s">
        <v>35</v>
      </c>
      <c r="I10" s="17" t="s">
        <v>35</v>
      </c>
      <c r="J10" s="26" t="s">
        <v>36</v>
      </c>
      <c r="K10" s="26" t="s">
        <v>36</v>
      </c>
      <c r="L10" s="26" t="s">
        <v>36</v>
      </c>
    </row>
    <row r="11" spans="1:12" ht="30" customHeight="1" x14ac:dyDescent="0.2">
      <c r="A11" s="23" t="s">
        <v>53</v>
      </c>
      <c r="B11" s="24" t="s">
        <v>54</v>
      </c>
      <c r="C11" s="17" t="s">
        <v>9</v>
      </c>
      <c r="D11" s="19" t="s">
        <v>42</v>
      </c>
      <c r="E11" s="27" t="s">
        <v>45</v>
      </c>
      <c r="F11" s="19" t="s">
        <v>42</v>
      </c>
      <c r="G11" s="19" t="s">
        <v>42</v>
      </c>
      <c r="H11" s="17" t="s">
        <v>35</v>
      </c>
      <c r="I11" s="25" t="s">
        <v>34</v>
      </c>
      <c r="J11" s="26" t="s">
        <v>36</v>
      </c>
      <c r="K11" s="26" t="s">
        <v>36</v>
      </c>
      <c r="L11" s="26" t="s">
        <v>36</v>
      </c>
    </row>
    <row r="12" spans="1:12" ht="30" customHeight="1" x14ac:dyDescent="0.2">
      <c r="A12" s="23" t="s">
        <v>55</v>
      </c>
      <c r="B12" s="24" t="s">
        <v>56</v>
      </c>
      <c r="C12" s="21" t="s">
        <v>16</v>
      </c>
      <c r="D12" s="21" t="s">
        <v>57</v>
      </c>
      <c r="E12" s="21" t="s">
        <v>57</v>
      </c>
      <c r="F12" s="21" t="s">
        <v>57</v>
      </c>
      <c r="G12" s="21" t="s">
        <v>57</v>
      </c>
      <c r="H12" s="21" t="s">
        <v>57</v>
      </c>
      <c r="I12" s="21" t="s">
        <v>57</v>
      </c>
      <c r="J12" s="26" t="s">
        <v>36</v>
      </c>
      <c r="K12" s="26" t="s">
        <v>36</v>
      </c>
      <c r="L12" s="26" t="s">
        <v>36</v>
      </c>
    </row>
    <row r="13" spans="1:12" ht="30" customHeight="1" x14ac:dyDescent="0.2">
      <c r="A13" s="23" t="s">
        <v>58</v>
      </c>
      <c r="B13" s="24" t="s">
        <v>59</v>
      </c>
      <c r="C13" s="20" t="s">
        <v>14</v>
      </c>
      <c r="D13" s="21" t="s">
        <v>57</v>
      </c>
      <c r="E13" s="21" t="s">
        <v>57</v>
      </c>
      <c r="F13" s="21" t="s">
        <v>57</v>
      </c>
      <c r="G13" s="21" t="s">
        <v>57</v>
      </c>
      <c r="H13" s="19" t="s">
        <v>42</v>
      </c>
      <c r="I13" s="19" t="s">
        <v>42</v>
      </c>
      <c r="J13" s="26" t="s">
        <v>36</v>
      </c>
      <c r="K13" s="26" t="s">
        <v>36</v>
      </c>
      <c r="L13" s="26" t="s">
        <v>37</v>
      </c>
    </row>
    <row r="15" spans="1:12" ht="15" customHeight="1" x14ac:dyDescent="0.2">
      <c r="B15" s="16" t="s">
        <v>60</v>
      </c>
    </row>
    <row r="16" spans="1:12" ht="57.75" customHeight="1" x14ac:dyDescent="0.2">
      <c r="B16" s="10" t="s">
        <v>678</v>
      </c>
      <c r="C16" s="10"/>
      <c r="D16" s="10"/>
      <c r="E16" s="10"/>
      <c r="F16" s="10"/>
      <c r="G16" s="10"/>
      <c r="H16" s="10"/>
      <c r="I16" s="10"/>
      <c r="J16" s="10"/>
      <c r="K16" s="10"/>
      <c r="L16" s="10"/>
    </row>
  </sheetData>
  <mergeCells count="3">
    <mergeCell ref="A1:L1"/>
    <mergeCell ref="A2:L2"/>
    <mergeCell ref="B16:L16"/>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3"/>
  <sheetViews>
    <sheetView showGridLines="0" zoomScaleNormal="100" workbookViewId="0">
      <pane ySplit="3" topLeftCell="A4" activePane="bottomLeft" state="frozen"/>
      <selection pane="bottomLeft" sqref="A1:L1"/>
    </sheetView>
  </sheetViews>
  <sheetFormatPr baseColWidth="10" defaultColWidth="8.6640625" defaultRowHeight="15" x14ac:dyDescent="0.2"/>
  <cols>
    <col min="1" max="1" width="4" customWidth="1"/>
    <col min="2" max="2" width="24" customWidth="1"/>
    <col min="3" max="3" width="34" customWidth="1"/>
    <col min="4" max="4" width="15" customWidth="1"/>
    <col min="5" max="5" width="13" customWidth="1"/>
    <col min="6" max="8" width="7" customWidth="1"/>
    <col min="9" max="9" width="9" customWidth="1"/>
    <col min="10" max="10" width="42" customWidth="1"/>
    <col min="11" max="11" width="40" customWidth="1"/>
    <col min="12" max="12" width="34" customWidth="1"/>
  </cols>
  <sheetData>
    <row r="1" spans="1:12" ht="30" customHeight="1" x14ac:dyDescent="0.2">
      <c r="A1" s="12" t="s">
        <v>690</v>
      </c>
      <c r="B1" s="12"/>
      <c r="C1" s="12"/>
      <c r="D1" s="12"/>
      <c r="E1" s="12"/>
      <c r="F1" s="12"/>
      <c r="G1" s="12"/>
      <c r="H1" s="12"/>
      <c r="I1" s="12"/>
      <c r="J1" s="12"/>
      <c r="K1" s="12"/>
      <c r="L1" s="12"/>
    </row>
    <row r="2" spans="1:12" ht="18" customHeight="1" x14ac:dyDescent="0.2">
      <c r="A2" s="11" t="s">
        <v>61</v>
      </c>
      <c r="B2" s="11"/>
      <c r="C2" s="11"/>
      <c r="D2" s="11"/>
      <c r="E2" s="11"/>
      <c r="F2" s="11"/>
      <c r="G2" s="11"/>
      <c r="H2" s="11"/>
      <c r="I2" s="11"/>
      <c r="J2" s="11"/>
      <c r="K2" s="11"/>
      <c r="L2" s="11"/>
    </row>
    <row r="3" spans="1:12" ht="30" customHeight="1" x14ac:dyDescent="0.2">
      <c r="A3" s="22" t="s">
        <v>20</v>
      </c>
      <c r="B3" s="22" t="s">
        <v>21</v>
      </c>
      <c r="C3" s="22" t="s">
        <v>62</v>
      </c>
      <c r="D3" s="22" t="s">
        <v>22</v>
      </c>
      <c r="E3" s="22" t="s">
        <v>63</v>
      </c>
      <c r="F3" s="22" t="s">
        <v>64</v>
      </c>
      <c r="G3" s="22" t="s">
        <v>65</v>
      </c>
      <c r="H3" s="22" t="s">
        <v>66</v>
      </c>
      <c r="I3" s="22" t="s">
        <v>67</v>
      </c>
      <c r="J3" s="22" t="s">
        <v>68</v>
      </c>
      <c r="K3" s="22" t="s">
        <v>69</v>
      </c>
      <c r="L3" s="22" t="s">
        <v>70</v>
      </c>
    </row>
    <row r="4" spans="1:12" ht="91.5" customHeight="1" x14ac:dyDescent="0.2">
      <c r="A4" s="23" t="s">
        <v>32</v>
      </c>
      <c r="B4" s="24" t="s">
        <v>33</v>
      </c>
      <c r="C4" s="28" t="s">
        <v>71</v>
      </c>
      <c r="D4" s="17" t="s">
        <v>9</v>
      </c>
      <c r="E4" s="26" t="s">
        <v>72</v>
      </c>
      <c r="F4" s="29">
        <v>8</v>
      </c>
      <c r="G4" s="30">
        <v>6</v>
      </c>
      <c r="H4" s="29">
        <v>9</v>
      </c>
      <c r="I4" s="26" t="s">
        <v>37</v>
      </c>
      <c r="J4" s="28" t="s">
        <v>73</v>
      </c>
      <c r="K4" s="31" t="s">
        <v>74</v>
      </c>
      <c r="L4" s="18" t="s">
        <v>75</v>
      </c>
    </row>
    <row r="5" spans="1:12" ht="91.5" customHeight="1" x14ac:dyDescent="0.2">
      <c r="A5" s="23" t="s">
        <v>38</v>
      </c>
      <c r="B5" s="24" t="s">
        <v>39</v>
      </c>
      <c r="C5" s="28" t="s">
        <v>76</v>
      </c>
      <c r="D5" s="17" t="s">
        <v>9</v>
      </c>
      <c r="E5" s="26" t="s">
        <v>77</v>
      </c>
      <c r="F5" s="29">
        <v>8</v>
      </c>
      <c r="G5" s="30">
        <v>7</v>
      </c>
      <c r="H5" s="29">
        <v>10</v>
      </c>
      <c r="I5" s="26" t="s">
        <v>36</v>
      </c>
      <c r="J5" s="28" t="s">
        <v>78</v>
      </c>
      <c r="K5" s="31" t="s">
        <v>79</v>
      </c>
      <c r="L5" s="18" t="s">
        <v>80</v>
      </c>
    </row>
    <row r="6" spans="1:12" ht="91.5" customHeight="1" x14ac:dyDescent="0.2">
      <c r="A6" s="23" t="s">
        <v>40</v>
      </c>
      <c r="B6" s="24" t="s">
        <v>41</v>
      </c>
      <c r="C6" s="28" t="s">
        <v>81</v>
      </c>
      <c r="D6" s="17" t="s">
        <v>9</v>
      </c>
      <c r="E6" s="26" t="s">
        <v>72</v>
      </c>
      <c r="F6" s="29">
        <v>9</v>
      </c>
      <c r="G6" s="30">
        <v>7</v>
      </c>
      <c r="H6" s="29">
        <v>10</v>
      </c>
      <c r="I6" s="26" t="s">
        <v>36</v>
      </c>
      <c r="J6" s="28" t="s">
        <v>82</v>
      </c>
      <c r="K6" s="31" t="s">
        <v>83</v>
      </c>
      <c r="L6" s="18" t="s">
        <v>84</v>
      </c>
    </row>
    <row r="7" spans="1:12" ht="91.5" customHeight="1" x14ac:dyDescent="0.2">
      <c r="A7" s="23" t="s">
        <v>43</v>
      </c>
      <c r="B7" s="24" t="s">
        <v>44</v>
      </c>
      <c r="C7" s="28" t="s">
        <v>85</v>
      </c>
      <c r="D7" s="20" t="s">
        <v>12</v>
      </c>
      <c r="E7" s="26" t="s">
        <v>86</v>
      </c>
      <c r="F7" s="30">
        <v>7</v>
      </c>
      <c r="G7" s="29">
        <v>8</v>
      </c>
      <c r="H7" s="30">
        <v>6</v>
      </c>
      <c r="I7" s="26" t="s">
        <v>37</v>
      </c>
      <c r="J7" s="28" t="s">
        <v>87</v>
      </c>
      <c r="K7" s="31" t="s">
        <v>88</v>
      </c>
      <c r="L7" s="18" t="s">
        <v>89</v>
      </c>
    </row>
    <row r="8" spans="1:12" ht="91.5" customHeight="1" x14ac:dyDescent="0.2">
      <c r="A8" s="23" t="s">
        <v>47</v>
      </c>
      <c r="B8" s="24" t="s">
        <v>48</v>
      </c>
      <c r="C8" s="28" t="s">
        <v>90</v>
      </c>
      <c r="D8" s="19" t="s">
        <v>677</v>
      </c>
      <c r="E8" s="26" t="s">
        <v>86</v>
      </c>
      <c r="F8" s="29">
        <v>8</v>
      </c>
      <c r="G8" s="30">
        <v>6</v>
      </c>
      <c r="H8" s="29">
        <v>8</v>
      </c>
      <c r="I8" s="26" t="s">
        <v>37</v>
      </c>
      <c r="J8" s="28" t="s">
        <v>91</v>
      </c>
      <c r="K8" s="31" t="s">
        <v>92</v>
      </c>
      <c r="L8" s="18" t="s">
        <v>93</v>
      </c>
    </row>
    <row r="9" spans="1:12" ht="91.5" customHeight="1" x14ac:dyDescent="0.2">
      <c r="A9" s="23" t="s">
        <v>49</v>
      </c>
      <c r="B9" s="24" t="s">
        <v>50</v>
      </c>
      <c r="C9" s="28" t="s">
        <v>94</v>
      </c>
      <c r="D9" s="19" t="s">
        <v>677</v>
      </c>
      <c r="E9" s="26" t="s">
        <v>86</v>
      </c>
      <c r="F9" s="30">
        <v>7</v>
      </c>
      <c r="G9" s="30">
        <v>5</v>
      </c>
      <c r="H9" s="29">
        <v>9</v>
      </c>
      <c r="I9" s="26" t="s">
        <v>37</v>
      </c>
      <c r="J9" s="28" t="s">
        <v>95</v>
      </c>
      <c r="K9" s="31" t="s">
        <v>96</v>
      </c>
      <c r="L9" s="18" t="s">
        <v>97</v>
      </c>
    </row>
    <row r="10" spans="1:12" ht="91.5" customHeight="1" x14ac:dyDescent="0.2">
      <c r="A10" s="23" t="s">
        <v>51</v>
      </c>
      <c r="B10" s="24" t="s">
        <v>52</v>
      </c>
      <c r="C10" s="28" t="s">
        <v>98</v>
      </c>
      <c r="D10" s="20" t="s">
        <v>12</v>
      </c>
      <c r="E10" s="26" t="s">
        <v>86</v>
      </c>
      <c r="F10" s="30">
        <v>6</v>
      </c>
      <c r="G10" s="30">
        <v>5</v>
      </c>
      <c r="H10" s="29">
        <v>8</v>
      </c>
      <c r="I10" s="26" t="s">
        <v>99</v>
      </c>
      <c r="J10" s="28" t="s">
        <v>100</v>
      </c>
      <c r="K10" s="31" t="s">
        <v>101</v>
      </c>
      <c r="L10" s="18" t="s">
        <v>102</v>
      </c>
    </row>
    <row r="11" spans="1:12" ht="91.5" customHeight="1" x14ac:dyDescent="0.2">
      <c r="A11" s="23" t="s">
        <v>53</v>
      </c>
      <c r="B11" s="24" t="s">
        <v>54</v>
      </c>
      <c r="C11" s="28" t="s">
        <v>103</v>
      </c>
      <c r="D11" s="17" t="s">
        <v>9</v>
      </c>
      <c r="E11" s="26" t="s">
        <v>104</v>
      </c>
      <c r="F11" s="30">
        <v>7</v>
      </c>
      <c r="G11" s="30">
        <v>6</v>
      </c>
      <c r="H11" s="29">
        <v>8</v>
      </c>
      <c r="I11" s="26" t="s">
        <v>37</v>
      </c>
      <c r="J11" s="28" t="s">
        <v>105</v>
      </c>
      <c r="K11" s="31" t="s">
        <v>106</v>
      </c>
      <c r="L11" s="18" t="s">
        <v>107</v>
      </c>
    </row>
    <row r="12" spans="1:12" ht="91.5" customHeight="1" x14ac:dyDescent="0.2">
      <c r="A12" s="23" t="s">
        <v>55</v>
      </c>
      <c r="B12" s="24" t="s">
        <v>56</v>
      </c>
      <c r="C12" s="28" t="s">
        <v>108</v>
      </c>
      <c r="D12" s="21" t="s">
        <v>16</v>
      </c>
      <c r="E12" s="26" t="s">
        <v>109</v>
      </c>
      <c r="F12" s="32">
        <v>2</v>
      </c>
      <c r="G12" s="32">
        <v>1</v>
      </c>
      <c r="H12" s="29">
        <v>10</v>
      </c>
      <c r="I12" s="26" t="s">
        <v>46</v>
      </c>
      <c r="J12" s="28" t="s">
        <v>110</v>
      </c>
      <c r="K12" s="31" t="s">
        <v>111</v>
      </c>
      <c r="L12" s="18" t="s">
        <v>112</v>
      </c>
    </row>
    <row r="13" spans="1:12" ht="91.5" customHeight="1" x14ac:dyDescent="0.2">
      <c r="A13" s="23" t="s">
        <v>58</v>
      </c>
      <c r="B13" s="24" t="s">
        <v>59</v>
      </c>
      <c r="C13" s="28" t="s">
        <v>113</v>
      </c>
      <c r="D13" s="20" t="s">
        <v>14</v>
      </c>
      <c r="E13" s="26" t="s">
        <v>109</v>
      </c>
      <c r="F13" s="32">
        <v>3</v>
      </c>
      <c r="G13" s="32">
        <v>2</v>
      </c>
      <c r="H13" s="29">
        <v>8</v>
      </c>
      <c r="I13" s="26" t="s">
        <v>46</v>
      </c>
      <c r="J13" s="28" t="s">
        <v>114</v>
      </c>
      <c r="K13" s="31" t="s">
        <v>115</v>
      </c>
      <c r="L13" s="18" t="s">
        <v>116</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5"/>
  <sheetViews>
    <sheetView showGridLines="0" zoomScaleNormal="100" workbookViewId="0">
      <pane ySplit="3" topLeftCell="A4" activePane="bottomLeft" state="frozen"/>
      <selection pane="bottomLeft" activeCell="A2" sqref="A2:H2"/>
    </sheetView>
  </sheetViews>
  <sheetFormatPr baseColWidth="10" defaultColWidth="8.6640625" defaultRowHeight="15" x14ac:dyDescent="0.2"/>
  <cols>
    <col min="1" max="1" width="4" customWidth="1"/>
    <col min="2" max="2" width="22" customWidth="1"/>
    <col min="3" max="3" width="12" customWidth="1"/>
    <col min="4" max="4" width="30" customWidth="1"/>
    <col min="5" max="5" width="28" customWidth="1"/>
    <col min="6" max="6" width="30" customWidth="1"/>
    <col min="7" max="7" width="20" customWidth="1"/>
    <col min="8" max="8" width="40" customWidth="1"/>
  </cols>
  <sheetData>
    <row r="1" spans="1:8" ht="30" customHeight="1" x14ac:dyDescent="0.2">
      <c r="A1" s="12" t="s">
        <v>117</v>
      </c>
      <c r="B1" s="12"/>
      <c r="C1" s="12"/>
      <c r="D1" s="12"/>
      <c r="E1" s="12"/>
      <c r="F1" s="12"/>
      <c r="G1" s="12"/>
      <c r="H1" s="12"/>
    </row>
    <row r="2" spans="1:8" ht="19.5" customHeight="1" x14ac:dyDescent="0.2">
      <c r="A2" s="11" t="s">
        <v>118</v>
      </c>
      <c r="B2" s="11"/>
      <c r="C2" s="11"/>
      <c r="D2" s="11"/>
      <c r="E2" s="11"/>
      <c r="F2" s="11"/>
      <c r="G2" s="11"/>
      <c r="H2" s="11"/>
    </row>
    <row r="3" spans="1:8" ht="30" customHeight="1" x14ac:dyDescent="0.2">
      <c r="A3" s="22" t="s">
        <v>20</v>
      </c>
      <c r="B3" s="22" t="s">
        <v>21</v>
      </c>
      <c r="C3" s="22" t="s">
        <v>119</v>
      </c>
      <c r="D3" s="22" t="s">
        <v>120</v>
      </c>
      <c r="E3" s="22" t="s">
        <v>121</v>
      </c>
      <c r="F3" s="22" t="s">
        <v>122</v>
      </c>
      <c r="G3" s="22" t="s">
        <v>123</v>
      </c>
      <c r="H3" s="22" t="s">
        <v>124</v>
      </c>
    </row>
    <row r="4" spans="1:8" ht="79.5" customHeight="1" x14ac:dyDescent="0.2">
      <c r="A4" s="23" t="s">
        <v>32</v>
      </c>
      <c r="B4" s="24" t="s">
        <v>33</v>
      </c>
      <c r="C4" s="17" t="s">
        <v>9</v>
      </c>
      <c r="D4" s="28" t="s">
        <v>125</v>
      </c>
      <c r="E4" s="28" t="s">
        <v>126</v>
      </c>
      <c r="F4" s="28" t="s">
        <v>127</v>
      </c>
      <c r="G4" s="18" t="s">
        <v>128</v>
      </c>
      <c r="H4" s="28" t="s">
        <v>129</v>
      </c>
    </row>
    <row r="5" spans="1:8" ht="79.5" customHeight="1" x14ac:dyDescent="0.2">
      <c r="A5" s="33" t="s">
        <v>38</v>
      </c>
      <c r="B5" s="34" t="s">
        <v>39</v>
      </c>
      <c r="C5" s="17" t="s">
        <v>9</v>
      </c>
      <c r="D5" s="35" t="s">
        <v>130</v>
      </c>
      <c r="E5" s="35" t="s">
        <v>131</v>
      </c>
      <c r="F5" s="35" t="s">
        <v>132</v>
      </c>
      <c r="G5" s="36" t="s">
        <v>133</v>
      </c>
      <c r="H5" s="35" t="s">
        <v>134</v>
      </c>
    </row>
    <row r="6" spans="1:8" ht="79.5" customHeight="1" x14ac:dyDescent="0.2">
      <c r="A6" s="23" t="s">
        <v>40</v>
      </c>
      <c r="B6" s="24" t="s">
        <v>41</v>
      </c>
      <c r="C6" s="17" t="s">
        <v>9</v>
      </c>
      <c r="D6" s="28" t="s">
        <v>135</v>
      </c>
      <c r="E6" s="28" t="s">
        <v>136</v>
      </c>
      <c r="F6" s="28" t="s">
        <v>137</v>
      </c>
      <c r="G6" s="18" t="s">
        <v>138</v>
      </c>
      <c r="H6" s="28" t="s">
        <v>139</v>
      </c>
    </row>
    <row r="7" spans="1:8" ht="79.5" customHeight="1" x14ac:dyDescent="0.2">
      <c r="A7" s="33" t="s">
        <v>43</v>
      </c>
      <c r="B7" s="34" t="s">
        <v>44</v>
      </c>
      <c r="C7" s="20" t="s">
        <v>12</v>
      </c>
      <c r="D7" s="35" t="s">
        <v>140</v>
      </c>
      <c r="E7" s="35" t="s">
        <v>141</v>
      </c>
      <c r="F7" s="35" t="s">
        <v>142</v>
      </c>
      <c r="G7" s="36" t="s">
        <v>143</v>
      </c>
      <c r="H7" s="37" t="s">
        <v>144</v>
      </c>
    </row>
    <row r="8" spans="1:8" ht="79.5" customHeight="1" x14ac:dyDescent="0.2">
      <c r="A8" s="23" t="s">
        <v>47</v>
      </c>
      <c r="B8" s="24" t="s">
        <v>48</v>
      </c>
      <c r="C8" s="19" t="s">
        <v>677</v>
      </c>
      <c r="D8" s="28" t="s">
        <v>145</v>
      </c>
      <c r="E8" s="28" t="s">
        <v>146</v>
      </c>
      <c r="F8" s="28" t="s">
        <v>147</v>
      </c>
      <c r="G8" s="18" t="s">
        <v>148</v>
      </c>
      <c r="H8" s="31" t="s">
        <v>679</v>
      </c>
    </row>
    <row r="9" spans="1:8" ht="79.5" customHeight="1" x14ac:dyDescent="0.2">
      <c r="A9" s="33" t="s">
        <v>49</v>
      </c>
      <c r="B9" s="34" t="s">
        <v>50</v>
      </c>
      <c r="C9" s="19" t="s">
        <v>677</v>
      </c>
      <c r="D9" s="35" t="s">
        <v>149</v>
      </c>
      <c r="E9" s="35" t="s">
        <v>150</v>
      </c>
      <c r="F9" s="35" t="s">
        <v>151</v>
      </c>
      <c r="G9" s="36" t="s">
        <v>152</v>
      </c>
      <c r="H9" s="37" t="s">
        <v>680</v>
      </c>
    </row>
    <row r="10" spans="1:8" ht="79.5" customHeight="1" x14ac:dyDescent="0.2">
      <c r="A10" s="23" t="s">
        <v>51</v>
      </c>
      <c r="B10" s="24" t="s">
        <v>52</v>
      </c>
      <c r="C10" s="20" t="s">
        <v>12</v>
      </c>
      <c r="D10" s="28" t="s">
        <v>153</v>
      </c>
      <c r="E10" s="28" t="s">
        <v>154</v>
      </c>
      <c r="F10" s="28" t="s">
        <v>155</v>
      </c>
      <c r="G10" s="18" t="s">
        <v>156</v>
      </c>
      <c r="H10" s="31" t="s">
        <v>157</v>
      </c>
    </row>
    <row r="11" spans="1:8" ht="79.5" customHeight="1" x14ac:dyDescent="0.2">
      <c r="A11" s="33" t="s">
        <v>53</v>
      </c>
      <c r="B11" s="34" t="s">
        <v>54</v>
      </c>
      <c r="C11" s="17" t="s">
        <v>9</v>
      </c>
      <c r="D11" s="35" t="s">
        <v>158</v>
      </c>
      <c r="E11" s="35" t="s">
        <v>159</v>
      </c>
      <c r="F11" s="35" t="s">
        <v>160</v>
      </c>
      <c r="G11" s="36" t="s">
        <v>161</v>
      </c>
      <c r="H11" s="35" t="s">
        <v>162</v>
      </c>
    </row>
    <row r="12" spans="1:8" ht="79.5" customHeight="1" x14ac:dyDescent="0.2">
      <c r="A12" s="23" t="s">
        <v>55</v>
      </c>
      <c r="B12" s="24" t="s">
        <v>56</v>
      </c>
      <c r="C12" s="21" t="s">
        <v>16</v>
      </c>
      <c r="D12" s="28" t="s">
        <v>163</v>
      </c>
      <c r="E12" s="28" t="s">
        <v>164</v>
      </c>
      <c r="F12" s="28" t="s">
        <v>165</v>
      </c>
      <c r="G12" s="18" t="s">
        <v>166</v>
      </c>
      <c r="H12" s="31" t="s">
        <v>167</v>
      </c>
    </row>
    <row r="13" spans="1:8" ht="79.5" customHeight="1" x14ac:dyDescent="0.2">
      <c r="A13" s="33" t="s">
        <v>58</v>
      </c>
      <c r="B13" s="34" t="s">
        <v>59</v>
      </c>
      <c r="C13" s="20" t="s">
        <v>14</v>
      </c>
      <c r="D13" s="35" t="s">
        <v>168</v>
      </c>
      <c r="E13" s="35" t="s">
        <v>169</v>
      </c>
      <c r="F13" s="35" t="s">
        <v>170</v>
      </c>
      <c r="G13" s="36" t="s">
        <v>143</v>
      </c>
      <c r="H13" s="37" t="s">
        <v>171</v>
      </c>
    </row>
    <row r="15" spans="1:8" ht="69.75" customHeight="1" x14ac:dyDescent="0.2">
      <c r="B15" s="16" t="s">
        <v>172</v>
      </c>
      <c r="D15" s="10" t="s">
        <v>173</v>
      </c>
      <c r="E15" s="10"/>
      <c r="F15" s="10"/>
      <c r="G15" s="10"/>
      <c r="H15" s="10"/>
    </row>
  </sheetData>
  <mergeCells count="3">
    <mergeCell ref="A1:H1"/>
    <mergeCell ref="A2:H2"/>
    <mergeCell ref="D15:H1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7"/>
  <sheetViews>
    <sheetView showGridLines="0" zoomScale="143" zoomScaleNormal="100" workbookViewId="0">
      <pane ySplit="3" topLeftCell="A21" activePane="bottomLeft" state="frozen"/>
      <selection pane="bottomLeft" activeCell="E27" sqref="E27"/>
    </sheetView>
  </sheetViews>
  <sheetFormatPr baseColWidth="10" defaultColWidth="8.6640625" defaultRowHeight="15" x14ac:dyDescent="0.2"/>
  <cols>
    <col min="1" max="1" width="24" customWidth="1"/>
    <col min="2" max="2" width="40" customWidth="1"/>
    <col min="3" max="3" width="30" customWidth="1"/>
    <col min="4" max="4" width="12" customWidth="1"/>
    <col min="5" max="5" width="44" customWidth="1"/>
  </cols>
  <sheetData>
    <row r="1" spans="1:5" ht="30" customHeight="1" x14ac:dyDescent="0.2">
      <c r="A1" s="12" t="s">
        <v>691</v>
      </c>
      <c r="B1" s="12"/>
      <c r="C1" s="12"/>
      <c r="D1" s="12"/>
      <c r="E1" s="12"/>
    </row>
    <row r="2" spans="1:5" ht="21.75" customHeight="1" x14ac:dyDescent="0.2">
      <c r="A2" s="11" t="s">
        <v>174</v>
      </c>
      <c r="B2" s="11"/>
      <c r="C2" s="11"/>
      <c r="D2" s="11"/>
      <c r="E2" s="11"/>
    </row>
    <row r="3" spans="1:5" ht="30" customHeight="1" x14ac:dyDescent="0.2">
      <c r="A3" s="22" t="s">
        <v>175</v>
      </c>
      <c r="B3" s="22" t="s">
        <v>176</v>
      </c>
      <c r="C3" s="22" t="s">
        <v>177</v>
      </c>
      <c r="D3" s="22" t="s">
        <v>178</v>
      </c>
      <c r="E3" s="22" t="s">
        <v>179</v>
      </c>
    </row>
    <row r="4" spans="1:5" ht="21.75" customHeight="1" x14ac:dyDescent="0.2">
      <c r="A4" s="9" t="s">
        <v>692</v>
      </c>
      <c r="B4" s="9"/>
      <c r="C4" s="9"/>
      <c r="D4" s="9"/>
      <c r="E4" s="9"/>
    </row>
    <row r="5" spans="1:5" ht="55.5" customHeight="1" x14ac:dyDescent="0.2">
      <c r="A5" s="16" t="s">
        <v>180</v>
      </c>
      <c r="B5" s="28" t="s">
        <v>181</v>
      </c>
      <c r="C5" s="28" t="s">
        <v>182</v>
      </c>
      <c r="D5" s="38" t="s">
        <v>183</v>
      </c>
      <c r="E5" s="28" t="s">
        <v>184</v>
      </c>
    </row>
    <row r="6" spans="1:5" ht="55.5" customHeight="1" x14ac:dyDescent="0.2">
      <c r="A6" s="39" t="s">
        <v>185</v>
      </c>
      <c r="B6" s="35" t="s">
        <v>186</v>
      </c>
      <c r="C6" s="35" t="s">
        <v>187</v>
      </c>
      <c r="D6" s="21" t="s">
        <v>188</v>
      </c>
      <c r="E6" s="37" t="s">
        <v>189</v>
      </c>
    </row>
    <row r="7" spans="1:5" ht="55.5" customHeight="1" x14ac:dyDescent="0.2">
      <c r="A7" s="16" t="s">
        <v>190</v>
      </c>
      <c r="B7" s="28" t="s">
        <v>191</v>
      </c>
      <c r="C7" s="28" t="s">
        <v>192</v>
      </c>
      <c r="D7" s="25" t="s">
        <v>193</v>
      </c>
      <c r="E7" s="28" t="s">
        <v>194</v>
      </c>
    </row>
    <row r="8" spans="1:5" ht="55.5" customHeight="1" x14ac:dyDescent="0.2">
      <c r="A8" s="39" t="s">
        <v>195</v>
      </c>
      <c r="B8" s="35" t="s">
        <v>196</v>
      </c>
      <c r="C8" s="35" t="s">
        <v>197</v>
      </c>
      <c r="D8" s="19" t="s">
        <v>12</v>
      </c>
      <c r="E8" s="35" t="s">
        <v>198</v>
      </c>
    </row>
    <row r="9" spans="1:5" ht="55.5" customHeight="1" x14ac:dyDescent="0.2">
      <c r="A9" s="16" t="s">
        <v>199</v>
      </c>
      <c r="B9" s="28" t="s">
        <v>200</v>
      </c>
      <c r="C9" s="28" t="s">
        <v>201</v>
      </c>
      <c r="D9" s="38" t="s">
        <v>183</v>
      </c>
      <c r="E9" s="28" t="s">
        <v>202</v>
      </c>
    </row>
    <row r="10" spans="1:5" ht="55.5" customHeight="1" x14ac:dyDescent="0.2">
      <c r="A10" s="39" t="s">
        <v>203</v>
      </c>
      <c r="B10" s="35" t="s">
        <v>204</v>
      </c>
      <c r="C10" s="35" t="s">
        <v>205</v>
      </c>
      <c r="D10" s="19" t="s">
        <v>12</v>
      </c>
      <c r="E10" s="35" t="s">
        <v>206</v>
      </c>
    </row>
    <row r="11" spans="1:5" ht="55.5" customHeight="1" x14ac:dyDescent="0.2">
      <c r="A11" s="16" t="s">
        <v>207</v>
      </c>
      <c r="B11" s="28" t="s">
        <v>208</v>
      </c>
      <c r="C11" s="28" t="s">
        <v>209</v>
      </c>
      <c r="D11" s="19" t="s">
        <v>12</v>
      </c>
      <c r="E11" s="28" t="s">
        <v>681</v>
      </c>
    </row>
    <row r="12" spans="1:5" ht="55.5" customHeight="1" x14ac:dyDescent="0.2">
      <c r="A12" s="39" t="s">
        <v>210</v>
      </c>
      <c r="B12" s="35" t="s">
        <v>211</v>
      </c>
      <c r="C12" s="35" t="s">
        <v>212</v>
      </c>
      <c r="D12" s="19" t="s">
        <v>12</v>
      </c>
      <c r="E12" s="35" t="s">
        <v>682</v>
      </c>
    </row>
    <row r="13" spans="1:5" ht="55.5" customHeight="1" x14ac:dyDescent="0.2">
      <c r="A13" s="16" t="s">
        <v>213</v>
      </c>
      <c r="B13" s="28" t="s">
        <v>214</v>
      </c>
      <c r="C13" s="28" t="s">
        <v>215</v>
      </c>
      <c r="D13" s="25" t="s">
        <v>193</v>
      </c>
      <c r="E13" s="28" t="s">
        <v>216</v>
      </c>
    </row>
    <row r="14" spans="1:5" ht="55.5" customHeight="1" x14ac:dyDescent="0.2">
      <c r="A14" s="39" t="s">
        <v>217</v>
      </c>
      <c r="B14" s="35" t="s">
        <v>218</v>
      </c>
      <c r="C14" s="35" t="s">
        <v>219</v>
      </c>
      <c r="D14" s="25" t="s">
        <v>193</v>
      </c>
      <c r="E14" s="35" t="s">
        <v>220</v>
      </c>
    </row>
    <row r="15" spans="1:5" ht="55.5" customHeight="1" x14ac:dyDescent="0.2">
      <c r="A15" s="16" t="s">
        <v>221</v>
      </c>
      <c r="B15" s="28" t="s">
        <v>222</v>
      </c>
      <c r="C15" s="28" t="s">
        <v>223</v>
      </c>
      <c r="D15" s="21" t="s">
        <v>188</v>
      </c>
      <c r="E15" s="31" t="s">
        <v>224</v>
      </c>
    </row>
    <row r="16" spans="1:5" ht="55.5" customHeight="1" x14ac:dyDescent="0.2">
      <c r="A16" s="39" t="s">
        <v>225</v>
      </c>
      <c r="B16" s="35" t="s">
        <v>226</v>
      </c>
      <c r="C16" s="35" t="s">
        <v>223</v>
      </c>
      <c r="D16" s="21" t="s">
        <v>188</v>
      </c>
      <c r="E16" s="37" t="s">
        <v>227</v>
      </c>
    </row>
    <row r="17" spans="1:5" ht="55.5" customHeight="1" x14ac:dyDescent="0.2">
      <c r="A17" s="16" t="s">
        <v>228</v>
      </c>
      <c r="B17" s="28" t="s">
        <v>229</v>
      </c>
      <c r="C17" s="28" t="s">
        <v>230</v>
      </c>
      <c r="D17" s="38" t="s">
        <v>183</v>
      </c>
      <c r="E17" s="28" t="s">
        <v>231</v>
      </c>
    </row>
    <row r="18" spans="1:5" ht="55.5" customHeight="1" x14ac:dyDescent="0.2">
      <c r="A18" s="39" t="s">
        <v>232</v>
      </c>
      <c r="B18" s="35" t="s">
        <v>233</v>
      </c>
      <c r="C18" s="35" t="s">
        <v>234</v>
      </c>
      <c r="D18" s="19" t="s">
        <v>12</v>
      </c>
      <c r="E18" s="35" t="s">
        <v>235</v>
      </c>
    </row>
    <row r="19" spans="1:5" ht="55.5" customHeight="1" x14ac:dyDescent="0.2">
      <c r="A19" s="16" t="s">
        <v>236</v>
      </c>
      <c r="B19" s="28" t="s">
        <v>237</v>
      </c>
      <c r="C19" s="28" t="s">
        <v>238</v>
      </c>
      <c r="D19" s="25" t="s">
        <v>193</v>
      </c>
      <c r="E19" s="28" t="s">
        <v>239</v>
      </c>
    </row>
    <row r="20" spans="1:5" ht="55.5" customHeight="1" x14ac:dyDescent="0.2">
      <c r="A20" s="39" t="s">
        <v>240</v>
      </c>
      <c r="B20" s="35" t="s">
        <v>241</v>
      </c>
      <c r="C20" s="35" t="s">
        <v>223</v>
      </c>
      <c r="D20" s="21" t="s">
        <v>188</v>
      </c>
      <c r="E20" s="37" t="s">
        <v>242</v>
      </c>
    </row>
    <row r="21" spans="1:5" ht="21.75" customHeight="1" x14ac:dyDescent="0.2">
      <c r="A21" s="9" t="s">
        <v>693</v>
      </c>
      <c r="B21" s="9"/>
      <c r="C21" s="9"/>
      <c r="D21" s="9"/>
      <c r="E21" s="9"/>
    </row>
    <row r="22" spans="1:5" ht="55.5" customHeight="1" x14ac:dyDescent="0.2">
      <c r="A22" s="16" t="s">
        <v>243</v>
      </c>
      <c r="B22" s="28" t="s">
        <v>244</v>
      </c>
      <c r="C22" s="28" t="s">
        <v>245</v>
      </c>
      <c r="D22" s="38" t="s">
        <v>183</v>
      </c>
      <c r="E22" s="28" t="s">
        <v>246</v>
      </c>
    </row>
    <row r="23" spans="1:5" ht="55.5" customHeight="1" x14ac:dyDescent="0.2">
      <c r="A23" s="39" t="s">
        <v>247</v>
      </c>
      <c r="B23" s="35" t="s">
        <v>248</v>
      </c>
      <c r="C23" s="35" t="s">
        <v>192</v>
      </c>
      <c r="D23" s="25" t="s">
        <v>193</v>
      </c>
      <c r="E23" s="35" t="s">
        <v>249</v>
      </c>
    </row>
    <row r="24" spans="1:5" ht="55.5" customHeight="1" x14ac:dyDescent="0.2">
      <c r="A24" s="16" t="s">
        <v>250</v>
      </c>
      <c r="B24" s="28" t="s">
        <v>251</v>
      </c>
      <c r="C24" s="28" t="s">
        <v>252</v>
      </c>
      <c r="D24" s="20" t="s">
        <v>16</v>
      </c>
      <c r="E24" s="28" t="s">
        <v>253</v>
      </c>
    </row>
    <row r="25" spans="1:5" ht="55.5" customHeight="1" x14ac:dyDescent="0.2">
      <c r="A25" s="39" t="s">
        <v>254</v>
      </c>
      <c r="B25" s="35" t="s">
        <v>255</v>
      </c>
      <c r="C25" s="35" t="s">
        <v>256</v>
      </c>
      <c r="D25" s="19" t="s">
        <v>12</v>
      </c>
      <c r="E25" s="35" t="s">
        <v>257</v>
      </c>
    </row>
    <row r="26" spans="1:5" ht="55.5" customHeight="1" x14ac:dyDescent="0.2">
      <c r="A26" s="16" t="s">
        <v>258</v>
      </c>
      <c r="B26" s="28" t="s">
        <v>259</v>
      </c>
      <c r="C26" s="28" t="s">
        <v>260</v>
      </c>
      <c r="D26" s="38" t="s">
        <v>183</v>
      </c>
      <c r="E26" s="28" t="s">
        <v>261</v>
      </c>
    </row>
    <row r="27" spans="1:5" ht="55.5" customHeight="1" x14ac:dyDescent="0.2">
      <c r="A27" s="39" t="s">
        <v>262</v>
      </c>
      <c r="B27" s="35" t="s">
        <v>263</v>
      </c>
      <c r="C27" s="35" t="s">
        <v>264</v>
      </c>
      <c r="D27" s="19" t="s">
        <v>12</v>
      </c>
      <c r="E27" s="35" t="s">
        <v>683</v>
      </c>
    </row>
    <row r="28" spans="1:5" ht="55.5" customHeight="1" x14ac:dyDescent="0.2">
      <c r="A28" s="16" t="s">
        <v>265</v>
      </c>
      <c r="B28" s="28" t="s">
        <v>266</v>
      </c>
      <c r="C28" s="28" t="s">
        <v>267</v>
      </c>
      <c r="D28" s="25" t="s">
        <v>193</v>
      </c>
      <c r="E28" s="28" t="s">
        <v>268</v>
      </c>
    </row>
    <row r="29" spans="1:5" ht="55.5" customHeight="1" x14ac:dyDescent="0.2">
      <c r="A29" s="39" t="s">
        <v>269</v>
      </c>
      <c r="B29" s="35" t="s">
        <v>270</v>
      </c>
      <c r="C29" s="35" t="s">
        <v>219</v>
      </c>
      <c r="D29" s="25" t="s">
        <v>193</v>
      </c>
      <c r="E29" s="35" t="s">
        <v>271</v>
      </c>
    </row>
    <row r="30" spans="1:5" ht="55.5" customHeight="1" x14ac:dyDescent="0.2">
      <c r="A30" s="16" t="s">
        <v>272</v>
      </c>
      <c r="B30" s="28" t="s">
        <v>273</v>
      </c>
      <c r="C30" s="28" t="s">
        <v>274</v>
      </c>
      <c r="D30" s="25" t="s">
        <v>193</v>
      </c>
      <c r="E30" s="28" t="s">
        <v>275</v>
      </c>
    </row>
    <row r="31" spans="1:5" ht="55.5" customHeight="1" x14ac:dyDescent="0.2">
      <c r="A31" s="39" t="s">
        <v>276</v>
      </c>
      <c r="B31" s="35" t="s">
        <v>277</v>
      </c>
      <c r="C31" s="35" t="s">
        <v>278</v>
      </c>
      <c r="D31" s="19" t="s">
        <v>12</v>
      </c>
      <c r="E31" s="35" t="s">
        <v>279</v>
      </c>
    </row>
    <row r="32" spans="1:5" ht="55.5" customHeight="1" x14ac:dyDescent="0.2">
      <c r="A32" s="16" t="s">
        <v>280</v>
      </c>
      <c r="B32" s="28" t="s">
        <v>281</v>
      </c>
      <c r="C32" s="28" t="s">
        <v>282</v>
      </c>
      <c r="D32" s="19" t="s">
        <v>12</v>
      </c>
      <c r="E32" s="28" t="s">
        <v>684</v>
      </c>
    </row>
    <row r="33" spans="1:5" ht="55.5" customHeight="1" x14ac:dyDescent="0.2">
      <c r="A33" s="39" t="s">
        <v>283</v>
      </c>
      <c r="B33" s="35" t="s">
        <v>284</v>
      </c>
      <c r="C33" s="35" t="s">
        <v>285</v>
      </c>
      <c r="D33" s="19" t="s">
        <v>12</v>
      </c>
      <c r="E33" s="35" t="s">
        <v>286</v>
      </c>
    </row>
    <row r="34" spans="1:5" ht="55.5" customHeight="1" x14ac:dyDescent="0.2">
      <c r="A34" s="16" t="s">
        <v>287</v>
      </c>
      <c r="B34" s="28" t="s">
        <v>288</v>
      </c>
      <c r="C34" s="28" t="s">
        <v>256</v>
      </c>
      <c r="D34" s="19" t="s">
        <v>12</v>
      </c>
      <c r="E34" s="28" t="s">
        <v>289</v>
      </c>
    </row>
    <row r="35" spans="1:5" ht="55.5" customHeight="1" x14ac:dyDescent="0.2">
      <c r="A35" s="39" t="s">
        <v>290</v>
      </c>
      <c r="B35" s="35" t="s">
        <v>291</v>
      </c>
      <c r="C35" s="35" t="s">
        <v>292</v>
      </c>
      <c r="D35" s="25" t="s">
        <v>193</v>
      </c>
      <c r="E35" s="35" t="s">
        <v>293</v>
      </c>
    </row>
    <row r="37" spans="1:5" ht="72" customHeight="1" x14ac:dyDescent="0.2">
      <c r="A37" s="16" t="s">
        <v>294</v>
      </c>
      <c r="B37" s="10" t="s">
        <v>295</v>
      </c>
      <c r="C37" s="10"/>
      <c r="D37" s="10"/>
      <c r="E37" s="10"/>
    </row>
  </sheetData>
  <mergeCells count="5">
    <mergeCell ref="A1:E1"/>
    <mergeCell ref="A2:E2"/>
    <mergeCell ref="A4:E4"/>
    <mergeCell ref="A21:E21"/>
    <mergeCell ref="B37:E37"/>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1"/>
  <sheetViews>
    <sheetView showGridLines="0" zoomScaleNormal="100" workbookViewId="0">
      <pane ySplit="3" topLeftCell="A4" activePane="bottomLeft" state="frozen"/>
      <selection pane="bottomLeft" sqref="A1:K1"/>
    </sheetView>
  </sheetViews>
  <sheetFormatPr baseColWidth="10" defaultColWidth="8.6640625" defaultRowHeight="15" x14ac:dyDescent="0.2"/>
  <cols>
    <col min="1" max="1" width="20" customWidth="1"/>
    <col min="2" max="2" width="18" customWidth="1"/>
    <col min="3" max="3" width="22" customWidth="1"/>
    <col min="4" max="4" width="24" customWidth="1"/>
    <col min="5" max="5" width="40" customWidth="1"/>
    <col min="6" max="8" width="22" customWidth="1"/>
    <col min="9" max="9" width="40" customWidth="1"/>
    <col min="10" max="10" width="13" customWidth="1"/>
    <col min="11" max="11" width="6" customWidth="1"/>
  </cols>
  <sheetData>
    <row r="1" spans="1:11" ht="30" customHeight="1" x14ac:dyDescent="0.2">
      <c r="A1" s="12" t="s">
        <v>694</v>
      </c>
      <c r="B1" s="12"/>
      <c r="C1" s="12"/>
      <c r="D1" s="12"/>
      <c r="E1" s="12"/>
      <c r="F1" s="12"/>
      <c r="G1" s="12"/>
      <c r="H1" s="12"/>
      <c r="I1" s="12"/>
      <c r="J1" s="12"/>
      <c r="K1" s="12"/>
    </row>
    <row r="2" spans="1:11" ht="18" customHeight="1" x14ac:dyDescent="0.2">
      <c r="A2" s="11" t="s">
        <v>296</v>
      </c>
      <c r="B2" s="11"/>
      <c r="C2" s="11"/>
      <c r="D2" s="11"/>
      <c r="E2" s="11"/>
      <c r="F2" s="11"/>
      <c r="G2" s="11"/>
      <c r="H2" s="11"/>
      <c r="I2" s="11"/>
      <c r="J2" s="11"/>
      <c r="K2" s="11"/>
    </row>
    <row r="3" spans="1:11" ht="30" customHeight="1" x14ac:dyDescent="0.2">
      <c r="A3" s="22" t="s">
        <v>297</v>
      </c>
      <c r="B3" s="22" t="s">
        <v>298</v>
      </c>
      <c r="C3" s="22" t="s">
        <v>299</v>
      </c>
      <c r="D3" s="22" t="s">
        <v>300</v>
      </c>
      <c r="E3" s="22" t="s">
        <v>301</v>
      </c>
      <c r="F3" s="22" t="s">
        <v>302</v>
      </c>
      <c r="G3" s="22" t="s">
        <v>303</v>
      </c>
      <c r="H3" s="22" t="s">
        <v>304</v>
      </c>
      <c r="I3" s="22" t="s">
        <v>305</v>
      </c>
      <c r="J3" s="22" t="s">
        <v>306</v>
      </c>
      <c r="K3" s="22" t="s">
        <v>307</v>
      </c>
    </row>
    <row r="4" spans="1:11" ht="63.75" customHeight="1" x14ac:dyDescent="0.2">
      <c r="A4" s="16" t="s">
        <v>308</v>
      </c>
      <c r="B4" s="28" t="s">
        <v>23</v>
      </c>
      <c r="C4" s="18" t="s">
        <v>309</v>
      </c>
      <c r="D4" s="40" t="s">
        <v>41</v>
      </c>
      <c r="E4" s="28" t="s">
        <v>310</v>
      </c>
      <c r="F4" s="41" t="s">
        <v>311</v>
      </c>
      <c r="G4" s="28" t="s">
        <v>312</v>
      </c>
      <c r="H4" s="18" t="s">
        <v>313</v>
      </c>
      <c r="I4" s="31" t="s">
        <v>314</v>
      </c>
      <c r="J4" s="42" t="s">
        <v>315</v>
      </c>
      <c r="K4" s="43">
        <v>95</v>
      </c>
    </row>
    <row r="5" spans="1:11" ht="63.75" customHeight="1" x14ac:dyDescent="0.2">
      <c r="A5" s="39" t="s">
        <v>316</v>
      </c>
      <c r="B5" s="35" t="s">
        <v>23</v>
      </c>
      <c r="C5" s="36" t="s">
        <v>317</v>
      </c>
      <c r="D5" s="44" t="s">
        <v>318</v>
      </c>
      <c r="E5" s="35" t="s">
        <v>319</v>
      </c>
      <c r="F5" s="45" t="s">
        <v>41</v>
      </c>
      <c r="G5" s="35" t="s">
        <v>320</v>
      </c>
      <c r="H5" s="36" t="s">
        <v>321</v>
      </c>
      <c r="I5" s="37" t="s">
        <v>322</v>
      </c>
      <c r="J5" s="46" t="s">
        <v>315</v>
      </c>
      <c r="K5" s="47">
        <v>93</v>
      </c>
    </row>
    <row r="6" spans="1:11" ht="63.75" customHeight="1" x14ac:dyDescent="0.2">
      <c r="A6" s="16" t="s">
        <v>323</v>
      </c>
      <c r="B6" s="28" t="s">
        <v>24</v>
      </c>
      <c r="C6" s="18" t="s">
        <v>324</v>
      </c>
      <c r="D6" s="40" t="s">
        <v>41</v>
      </c>
      <c r="E6" s="28" t="s">
        <v>325</v>
      </c>
      <c r="F6" s="41" t="s">
        <v>50</v>
      </c>
      <c r="G6" s="28" t="s">
        <v>313</v>
      </c>
      <c r="H6" s="18" t="s">
        <v>326</v>
      </c>
      <c r="I6" s="31" t="s">
        <v>327</v>
      </c>
      <c r="J6" s="42" t="s">
        <v>328</v>
      </c>
      <c r="K6" s="43">
        <v>79</v>
      </c>
    </row>
    <row r="7" spans="1:11" ht="63.75" customHeight="1" x14ac:dyDescent="0.2">
      <c r="A7" s="39" t="s">
        <v>329</v>
      </c>
      <c r="B7" s="35" t="s">
        <v>330</v>
      </c>
      <c r="C7" s="36" t="s">
        <v>331</v>
      </c>
      <c r="D7" s="44" t="s">
        <v>311</v>
      </c>
      <c r="E7" s="35" t="s">
        <v>332</v>
      </c>
      <c r="F7" s="45" t="s">
        <v>318</v>
      </c>
      <c r="G7" s="35" t="s">
        <v>333</v>
      </c>
      <c r="H7" s="36" t="s">
        <v>333</v>
      </c>
      <c r="I7" s="37" t="s">
        <v>334</v>
      </c>
      <c r="J7" s="46" t="s">
        <v>328</v>
      </c>
      <c r="K7" s="47">
        <v>77</v>
      </c>
    </row>
    <row r="8" spans="1:11" ht="63.75" customHeight="1" x14ac:dyDescent="0.2">
      <c r="A8" s="16" t="s">
        <v>335</v>
      </c>
      <c r="B8" s="28" t="s">
        <v>23</v>
      </c>
      <c r="C8" s="18" t="s">
        <v>336</v>
      </c>
      <c r="D8" s="40" t="s">
        <v>318</v>
      </c>
      <c r="E8" s="28" t="s">
        <v>337</v>
      </c>
      <c r="F8" s="41" t="s">
        <v>338</v>
      </c>
      <c r="G8" s="28" t="s">
        <v>339</v>
      </c>
      <c r="H8" s="18" t="s">
        <v>340</v>
      </c>
      <c r="I8" s="31" t="s">
        <v>341</v>
      </c>
      <c r="J8" s="42" t="s">
        <v>328</v>
      </c>
      <c r="K8" s="43">
        <v>90</v>
      </c>
    </row>
    <row r="9" spans="1:11" ht="63.75" customHeight="1" x14ac:dyDescent="0.2">
      <c r="A9" s="39" t="s">
        <v>342</v>
      </c>
      <c r="B9" s="35" t="s">
        <v>23</v>
      </c>
      <c r="C9" s="36" t="s">
        <v>343</v>
      </c>
      <c r="D9" s="44" t="s">
        <v>41</v>
      </c>
      <c r="E9" s="35" t="s">
        <v>344</v>
      </c>
      <c r="F9" s="45" t="s">
        <v>345</v>
      </c>
      <c r="G9" s="35" t="s">
        <v>313</v>
      </c>
      <c r="H9" s="36" t="s">
        <v>326</v>
      </c>
      <c r="I9" s="37" t="s">
        <v>346</v>
      </c>
      <c r="J9" s="46" t="s">
        <v>328</v>
      </c>
      <c r="K9" s="47">
        <v>85</v>
      </c>
    </row>
    <row r="11" spans="1:11" ht="15" customHeight="1" x14ac:dyDescent="0.2">
      <c r="A11" s="16" t="s">
        <v>347</v>
      </c>
      <c r="D11" s="8" t="str">
        <f>COUNTIF(D4:D9,"Immutable Audit Trail")&amp;" Audit  /  "&amp;COUNTIF(D4:D9,"LLM Gateway")&amp;" Gateway  /  "&amp;COUNTIF(D4:D9,"Guardrails (PII)")&amp;" Guardrails"</f>
        <v>3 Audit  /  2 Gateway  /  1 Guardrails</v>
      </c>
      <c r="E11" s="8"/>
      <c r="F11" s="8"/>
      <c r="G11" s="8"/>
      <c r="H11" s="8"/>
      <c r="I11" s="8"/>
    </row>
  </sheetData>
  <mergeCells count="3">
    <mergeCell ref="A1:K1"/>
    <mergeCell ref="A2:K2"/>
    <mergeCell ref="D11:I1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9"/>
  <sheetViews>
    <sheetView showGridLines="0" zoomScaleNormal="100" workbookViewId="0">
      <pane ySplit="3" topLeftCell="A4" activePane="bottomLeft" state="frozen"/>
      <selection pane="bottomLeft" activeCell="F4" sqref="F4"/>
    </sheetView>
  </sheetViews>
  <sheetFormatPr baseColWidth="10" defaultColWidth="8.6640625" defaultRowHeight="15" x14ac:dyDescent="0.2"/>
  <cols>
    <col min="1" max="1" width="20" customWidth="1"/>
    <col min="2" max="2" width="13" customWidth="1"/>
    <col min="3" max="3" width="30" customWidth="1"/>
    <col min="4" max="4" width="34" customWidth="1"/>
    <col min="5" max="5" width="30" customWidth="1"/>
    <col min="6" max="6" width="34" customWidth="1"/>
  </cols>
  <sheetData>
    <row r="1" spans="1:6" ht="30" customHeight="1" x14ac:dyDescent="0.2">
      <c r="A1" s="12" t="s">
        <v>695</v>
      </c>
      <c r="B1" s="12"/>
      <c r="C1" s="12"/>
      <c r="D1" s="12"/>
      <c r="E1" s="12"/>
      <c r="F1" s="12"/>
    </row>
    <row r="2" spans="1:6" ht="18" customHeight="1" x14ac:dyDescent="0.2">
      <c r="A2" s="11" t="s">
        <v>348</v>
      </c>
      <c r="B2" s="11"/>
      <c r="C2" s="11"/>
      <c r="D2" s="11"/>
      <c r="E2" s="11"/>
      <c r="F2" s="11"/>
    </row>
    <row r="3" spans="1:6" ht="30" customHeight="1" x14ac:dyDescent="0.2">
      <c r="A3" s="22" t="s">
        <v>298</v>
      </c>
      <c r="B3" s="22" t="s">
        <v>349</v>
      </c>
      <c r="C3" s="22" t="s">
        <v>350</v>
      </c>
      <c r="D3" s="22" t="s">
        <v>351</v>
      </c>
      <c r="E3" s="22" t="s">
        <v>352</v>
      </c>
      <c r="F3" s="22" t="s">
        <v>353</v>
      </c>
    </row>
    <row r="4" spans="1:6" ht="85.5" customHeight="1" x14ac:dyDescent="0.2">
      <c r="A4" s="16" t="s">
        <v>23</v>
      </c>
      <c r="B4" s="17" t="s">
        <v>354</v>
      </c>
      <c r="C4" s="28" t="s">
        <v>355</v>
      </c>
      <c r="D4" s="18" t="s">
        <v>356</v>
      </c>
      <c r="E4" s="31" t="s">
        <v>357</v>
      </c>
      <c r="F4" s="28" t="s">
        <v>358</v>
      </c>
    </row>
    <row r="5" spans="1:6" ht="85.5" customHeight="1" x14ac:dyDescent="0.2">
      <c r="A5" s="39" t="s">
        <v>24</v>
      </c>
      <c r="B5" s="17" t="s">
        <v>354</v>
      </c>
      <c r="C5" s="35" t="s">
        <v>359</v>
      </c>
      <c r="D5" s="36" t="s">
        <v>360</v>
      </c>
      <c r="E5" s="37" t="s">
        <v>361</v>
      </c>
      <c r="F5" s="35" t="s">
        <v>362</v>
      </c>
    </row>
    <row r="6" spans="1:6" ht="85.5" customHeight="1" x14ac:dyDescent="0.2">
      <c r="A6" s="16" t="s">
        <v>363</v>
      </c>
      <c r="B6" s="17" t="s">
        <v>354</v>
      </c>
      <c r="C6" s="28" t="s">
        <v>364</v>
      </c>
      <c r="D6" s="18" t="s">
        <v>365</v>
      </c>
      <c r="E6" s="31" t="s">
        <v>366</v>
      </c>
      <c r="F6" s="28" t="s">
        <v>367</v>
      </c>
    </row>
    <row r="7" spans="1:6" ht="85.5" customHeight="1" x14ac:dyDescent="0.2">
      <c r="A7" s="39" t="s">
        <v>368</v>
      </c>
      <c r="B7" s="21" t="s">
        <v>369</v>
      </c>
      <c r="C7" s="35" t="s">
        <v>370</v>
      </c>
      <c r="D7" s="36" t="s">
        <v>371</v>
      </c>
      <c r="E7" s="37" t="s">
        <v>372</v>
      </c>
      <c r="F7" s="35" t="s">
        <v>373</v>
      </c>
    </row>
    <row r="8" spans="1:6" ht="85.5" customHeight="1" x14ac:dyDescent="0.2">
      <c r="A8" s="16" t="s">
        <v>374</v>
      </c>
      <c r="B8" s="21" t="s">
        <v>369</v>
      </c>
      <c r="C8" s="28" t="s">
        <v>375</v>
      </c>
      <c r="D8" s="18" t="s">
        <v>376</v>
      </c>
      <c r="E8" s="31" t="s">
        <v>377</v>
      </c>
      <c r="F8" s="28" t="s">
        <v>378</v>
      </c>
    </row>
    <row r="9" spans="1:6" ht="85.5" customHeight="1" x14ac:dyDescent="0.2">
      <c r="A9" s="39" t="s">
        <v>379</v>
      </c>
      <c r="B9" s="21" t="s">
        <v>369</v>
      </c>
      <c r="C9" s="35" t="s">
        <v>380</v>
      </c>
      <c r="D9" s="36" t="s">
        <v>381</v>
      </c>
      <c r="E9" s="37" t="s">
        <v>382</v>
      </c>
      <c r="F9" s="35" t="s">
        <v>383</v>
      </c>
    </row>
  </sheetData>
  <mergeCells count="2">
    <mergeCell ref="A1:F1"/>
    <mergeCell ref="A2:F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21"/>
  <sheetViews>
    <sheetView showGridLines="0" zoomScale="131" zoomScaleNormal="100" workbookViewId="0">
      <pane ySplit="3" topLeftCell="A4" activePane="bottomLeft" state="frozen"/>
      <selection pane="bottomLeft" sqref="A1:D1"/>
    </sheetView>
  </sheetViews>
  <sheetFormatPr baseColWidth="10" defaultColWidth="8.6640625" defaultRowHeight="15" x14ac:dyDescent="0.2"/>
  <cols>
    <col min="1" max="1" width="15" customWidth="1"/>
    <col min="2" max="2" width="40" customWidth="1"/>
    <col min="3" max="3" width="16" customWidth="1"/>
    <col min="4" max="4" width="60" customWidth="1"/>
  </cols>
  <sheetData>
    <row r="1" spans="1:4" ht="30" customHeight="1" x14ac:dyDescent="0.2">
      <c r="A1" s="12" t="s">
        <v>696</v>
      </c>
      <c r="B1" s="12"/>
      <c r="C1" s="12"/>
      <c r="D1" s="12"/>
    </row>
    <row r="2" spans="1:4" ht="21.75" customHeight="1" x14ac:dyDescent="0.2">
      <c r="A2" s="11" t="s">
        <v>384</v>
      </c>
      <c r="B2" s="11"/>
      <c r="C2" s="11"/>
      <c r="D2" s="11"/>
    </row>
    <row r="3" spans="1:4" ht="30" customHeight="1" x14ac:dyDescent="0.2">
      <c r="A3" s="22" t="s">
        <v>385</v>
      </c>
      <c r="B3" s="22" t="s">
        <v>386</v>
      </c>
      <c r="C3" s="22" t="s">
        <v>119</v>
      </c>
      <c r="D3" s="22" t="s">
        <v>387</v>
      </c>
    </row>
    <row r="4" spans="1:4" ht="43.5" customHeight="1" x14ac:dyDescent="0.2">
      <c r="A4" s="23" t="s">
        <v>388</v>
      </c>
      <c r="B4" s="28" t="s">
        <v>389</v>
      </c>
      <c r="C4" s="17" t="s">
        <v>390</v>
      </c>
      <c r="D4" s="28" t="s">
        <v>391</v>
      </c>
    </row>
    <row r="5" spans="1:4" ht="43.5" customHeight="1" x14ac:dyDescent="0.2">
      <c r="A5" s="33" t="s">
        <v>392</v>
      </c>
      <c r="B5" s="35" t="s">
        <v>393</v>
      </c>
      <c r="C5" s="17" t="s">
        <v>390</v>
      </c>
      <c r="D5" s="35" t="s">
        <v>394</v>
      </c>
    </row>
    <row r="6" spans="1:4" ht="43.5" customHeight="1" x14ac:dyDescent="0.2">
      <c r="A6" s="23" t="s">
        <v>395</v>
      </c>
      <c r="B6" s="28" t="s">
        <v>396</v>
      </c>
      <c r="C6" s="17" t="s">
        <v>390</v>
      </c>
      <c r="D6" s="28" t="s">
        <v>397</v>
      </c>
    </row>
    <row r="7" spans="1:4" ht="43.5" customHeight="1" x14ac:dyDescent="0.2">
      <c r="A7" s="33" t="s">
        <v>398</v>
      </c>
      <c r="B7" s="35" t="s">
        <v>399</v>
      </c>
      <c r="C7" s="17" t="s">
        <v>400</v>
      </c>
      <c r="D7" s="35" t="s">
        <v>401</v>
      </c>
    </row>
    <row r="8" spans="1:4" ht="43.5" customHeight="1" x14ac:dyDescent="0.2">
      <c r="A8" s="23" t="s">
        <v>402</v>
      </c>
      <c r="B8" s="28" t="s">
        <v>403</v>
      </c>
      <c r="C8" s="38" t="s">
        <v>404</v>
      </c>
      <c r="D8" s="28" t="s">
        <v>405</v>
      </c>
    </row>
    <row r="9" spans="1:4" ht="43.5" customHeight="1" x14ac:dyDescent="0.2">
      <c r="A9" s="33" t="s">
        <v>406</v>
      </c>
      <c r="B9" s="35" t="s">
        <v>407</v>
      </c>
      <c r="C9" s="20" t="s">
        <v>408</v>
      </c>
      <c r="D9" s="35" t="s">
        <v>409</v>
      </c>
    </row>
    <row r="10" spans="1:4" ht="43.5" customHeight="1" x14ac:dyDescent="0.2">
      <c r="A10" s="23" t="s">
        <v>410</v>
      </c>
      <c r="B10" s="28" t="s">
        <v>411</v>
      </c>
      <c r="C10" s="20" t="s">
        <v>408</v>
      </c>
      <c r="D10" s="28" t="s">
        <v>412</v>
      </c>
    </row>
    <row r="11" spans="1:4" ht="43.5" customHeight="1" x14ac:dyDescent="0.2">
      <c r="A11" s="33" t="s">
        <v>413</v>
      </c>
      <c r="B11" s="35" t="s">
        <v>414</v>
      </c>
      <c r="C11" s="20" t="s">
        <v>408</v>
      </c>
      <c r="D11" s="35" t="s">
        <v>415</v>
      </c>
    </row>
    <row r="14" spans="1:4" ht="15" customHeight="1" x14ac:dyDescent="0.2">
      <c r="A14" s="7" t="s">
        <v>416</v>
      </c>
      <c r="B14" s="7"/>
      <c r="C14" s="7"/>
      <c r="D14" s="7"/>
    </row>
    <row r="15" spans="1:4" ht="55.5" customHeight="1" x14ac:dyDescent="0.2">
      <c r="A15" s="16" t="s">
        <v>417</v>
      </c>
      <c r="B15" s="10" t="s">
        <v>418</v>
      </c>
      <c r="C15" s="10"/>
      <c r="D15" s="10"/>
    </row>
    <row r="16" spans="1:4" ht="69.75" customHeight="1" x14ac:dyDescent="0.2">
      <c r="A16" s="39" t="s">
        <v>419</v>
      </c>
      <c r="B16" s="6" t="s">
        <v>420</v>
      </c>
      <c r="C16" s="6"/>
      <c r="D16" s="6"/>
    </row>
    <row r="17" spans="1:4" ht="69.75" customHeight="1" x14ac:dyDescent="0.2">
      <c r="A17" s="16" t="s">
        <v>421</v>
      </c>
      <c r="B17" s="10" t="s">
        <v>422</v>
      </c>
      <c r="C17" s="10"/>
      <c r="D17" s="10"/>
    </row>
    <row r="18" spans="1:4" ht="69.75" customHeight="1" x14ac:dyDescent="0.2">
      <c r="A18" s="39" t="s">
        <v>423</v>
      </c>
      <c r="B18" s="6" t="s">
        <v>424</v>
      </c>
      <c r="C18" s="6"/>
      <c r="D18" s="6"/>
    </row>
    <row r="19" spans="1:4" ht="55.5" customHeight="1" x14ac:dyDescent="0.2">
      <c r="A19" s="16" t="s">
        <v>425</v>
      </c>
      <c r="B19" s="10" t="s">
        <v>426</v>
      </c>
      <c r="C19" s="10"/>
      <c r="D19" s="10"/>
    </row>
    <row r="20" spans="1:4" ht="55.5" customHeight="1" x14ac:dyDescent="0.2">
      <c r="A20" s="39" t="s">
        <v>427</v>
      </c>
      <c r="B20" s="6" t="s">
        <v>428</v>
      </c>
      <c r="C20" s="6"/>
      <c r="D20" s="6"/>
    </row>
    <row r="21" spans="1:4" ht="55.5" customHeight="1" x14ac:dyDescent="0.2">
      <c r="A21" s="16" t="s">
        <v>429</v>
      </c>
      <c r="B21" s="10" t="s">
        <v>430</v>
      </c>
      <c r="C21" s="10"/>
      <c r="D21" s="10"/>
    </row>
  </sheetData>
  <mergeCells count="10">
    <mergeCell ref="B17:D17"/>
    <mergeCell ref="B18:D18"/>
    <mergeCell ref="B19:D19"/>
    <mergeCell ref="B20:D20"/>
    <mergeCell ref="B21:D21"/>
    <mergeCell ref="A1:D1"/>
    <mergeCell ref="A2:D2"/>
    <mergeCell ref="A14:D14"/>
    <mergeCell ref="B15:D15"/>
    <mergeCell ref="B16:D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38"/>
  <sheetViews>
    <sheetView showGridLines="0" zoomScale="136" zoomScaleNormal="100" workbookViewId="0">
      <pane ySplit="2" topLeftCell="A18" activePane="bottomLeft" state="frozen"/>
      <selection pane="bottomLeft" activeCell="B38" sqref="B38:F38"/>
    </sheetView>
  </sheetViews>
  <sheetFormatPr baseColWidth="10" defaultColWidth="8.6640625" defaultRowHeight="15" x14ac:dyDescent="0.2"/>
  <cols>
    <col min="1" max="1" width="24" customWidth="1"/>
    <col min="2" max="2" width="40" customWidth="1"/>
    <col min="3" max="3" width="18" customWidth="1"/>
    <col min="4" max="4" width="52" customWidth="1"/>
    <col min="5" max="6" width="3" customWidth="1"/>
  </cols>
  <sheetData>
    <row r="1" spans="1:6" ht="30" customHeight="1" x14ac:dyDescent="0.2">
      <c r="A1" s="12" t="s">
        <v>697</v>
      </c>
      <c r="B1" s="12"/>
      <c r="C1" s="12"/>
      <c r="D1" s="12"/>
      <c r="E1" s="12"/>
      <c r="F1" s="12"/>
    </row>
    <row r="2" spans="1:6" ht="21.75" customHeight="1" x14ac:dyDescent="0.2">
      <c r="A2" s="11" t="s">
        <v>431</v>
      </c>
      <c r="B2" s="11"/>
      <c r="C2" s="11"/>
      <c r="D2" s="11"/>
      <c r="E2" s="11"/>
      <c r="F2" s="11"/>
    </row>
    <row r="3" spans="1:6" ht="21.75" customHeight="1" x14ac:dyDescent="0.2">
      <c r="A3" s="9" t="s">
        <v>432</v>
      </c>
      <c r="B3" s="9"/>
      <c r="C3" s="9"/>
      <c r="D3" s="9"/>
      <c r="E3" s="9"/>
      <c r="F3" s="9"/>
    </row>
    <row r="4" spans="1:6" ht="27.75" customHeight="1" x14ac:dyDescent="0.2">
      <c r="A4" s="22" t="s">
        <v>433</v>
      </c>
      <c r="B4" s="22" t="s">
        <v>434</v>
      </c>
      <c r="C4" s="22" t="s">
        <v>435</v>
      </c>
      <c r="D4" s="5" t="s">
        <v>436</v>
      </c>
      <c r="E4" s="5"/>
      <c r="F4" s="5"/>
    </row>
    <row r="5" spans="1:6" ht="69.75" customHeight="1" x14ac:dyDescent="0.2">
      <c r="A5" s="16" t="s">
        <v>437</v>
      </c>
      <c r="B5" s="18" t="s">
        <v>438</v>
      </c>
      <c r="C5" s="28" t="s">
        <v>439</v>
      </c>
      <c r="D5" s="10" t="s">
        <v>440</v>
      </c>
      <c r="E5" s="10"/>
      <c r="F5" s="10"/>
    </row>
    <row r="6" spans="1:6" ht="69.75" customHeight="1" x14ac:dyDescent="0.2">
      <c r="A6" s="39" t="s">
        <v>441</v>
      </c>
      <c r="B6" s="36" t="s">
        <v>442</v>
      </c>
      <c r="C6" s="35" t="s">
        <v>443</v>
      </c>
      <c r="D6" s="6" t="s">
        <v>444</v>
      </c>
      <c r="E6" s="6"/>
      <c r="F6" s="6"/>
    </row>
    <row r="7" spans="1:6" ht="69.75" customHeight="1" x14ac:dyDescent="0.2">
      <c r="A7" s="16" t="s">
        <v>445</v>
      </c>
      <c r="B7" s="18" t="s">
        <v>446</v>
      </c>
      <c r="C7" s="28" t="s">
        <v>447</v>
      </c>
      <c r="D7" s="10" t="s">
        <v>448</v>
      </c>
      <c r="E7" s="10"/>
      <c r="F7" s="10"/>
    </row>
    <row r="8" spans="1:6" ht="69.75" customHeight="1" x14ac:dyDescent="0.2">
      <c r="A8" s="39" t="s">
        <v>449</v>
      </c>
      <c r="B8" s="36" t="s">
        <v>450</v>
      </c>
      <c r="C8" s="35" t="s">
        <v>451</v>
      </c>
      <c r="D8" s="6" t="s">
        <v>452</v>
      </c>
      <c r="E8" s="6"/>
      <c r="F8" s="6"/>
    </row>
    <row r="9" spans="1:6" ht="69.75" customHeight="1" x14ac:dyDescent="0.2">
      <c r="A9" s="16" t="s">
        <v>453</v>
      </c>
      <c r="B9" s="18" t="s">
        <v>454</v>
      </c>
      <c r="C9" s="28" t="s">
        <v>455</v>
      </c>
      <c r="D9" s="10" t="s">
        <v>456</v>
      </c>
      <c r="E9" s="10"/>
      <c r="F9" s="10"/>
    </row>
    <row r="10" spans="1:6" ht="69.75" customHeight="1" x14ac:dyDescent="0.2">
      <c r="A10" s="39" t="s">
        <v>457</v>
      </c>
      <c r="B10" s="36" t="s">
        <v>458</v>
      </c>
      <c r="C10" s="35" t="s">
        <v>390</v>
      </c>
      <c r="D10" s="6" t="s">
        <v>459</v>
      </c>
      <c r="E10" s="6"/>
      <c r="F10" s="6"/>
    </row>
    <row r="11" spans="1:6" ht="69.75" customHeight="1" x14ac:dyDescent="0.2">
      <c r="A11" s="16" t="s">
        <v>460</v>
      </c>
      <c r="B11" s="18" t="s">
        <v>461</v>
      </c>
      <c r="C11" s="28" t="s">
        <v>462</v>
      </c>
      <c r="D11" s="10" t="s">
        <v>463</v>
      </c>
      <c r="E11" s="10"/>
      <c r="F11" s="10"/>
    </row>
    <row r="13" spans="1:6" ht="21.75" customHeight="1" x14ac:dyDescent="0.2">
      <c r="A13" s="9" t="s">
        <v>464</v>
      </c>
      <c r="B13" s="9"/>
      <c r="C13" s="9"/>
      <c r="D13" s="9"/>
      <c r="E13" s="9"/>
      <c r="F13" s="9"/>
    </row>
    <row r="14" spans="1:6" ht="27.75" customHeight="1" x14ac:dyDescent="0.2">
      <c r="A14" s="22" t="s">
        <v>465</v>
      </c>
      <c r="B14" s="22" t="s">
        <v>466</v>
      </c>
      <c r="C14" s="22" t="s">
        <v>467</v>
      </c>
      <c r="D14" s="22" t="s">
        <v>178</v>
      </c>
      <c r="E14" s="5"/>
      <c r="F14" s="5"/>
    </row>
    <row r="15" spans="1:6" ht="45.75" customHeight="1" x14ac:dyDescent="0.2">
      <c r="A15" s="16" t="s">
        <v>468</v>
      </c>
      <c r="B15" s="18" t="s">
        <v>469</v>
      </c>
      <c r="C15" s="28" t="s">
        <v>470</v>
      </c>
      <c r="D15" s="38" t="s">
        <v>183</v>
      </c>
      <c r="E15" s="4"/>
      <c r="F15" s="4"/>
    </row>
    <row r="16" spans="1:6" ht="45.75" customHeight="1" x14ac:dyDescent="0.2">
      <c r="A16" s="39" t="s">
        <v>471</v>
      </c>
      <c r="B16" s="36" t="s">
        <v>472</v>
      </c>
      <c r="C16" s="35" t="s">
        <v>473</v>
      </c>
      <c r="D16" s="19" t="s">
        <v>474</v>
      </c>
      <c r="E16" s="4"/>
      <c r="F16" s="4"/>
    </row>
    <row r="17" spans="1:6" ht="45.75" customHeight="1" x14ac:dyDescent="0.2">
      <c r="A17" s="16" t="s">
        <v>475</v>
      </c>
      <c r="B17" s="18" t="s">
        <v>476</v>
      </c>
      <c r="C17" s="28" t="s">
        <v>477</v>
      </c>
      <c r="D17" s="25" t="s">
        <v>478</v>
      </c>
      <c r="E17" s="4"/>
      <c r="F17" s="4"/>
    </row>
    <row r="18" spans="1:6" ht="45.75" customHeight="1" x14ac:dyDescent="0.2">
      <c r="A18" s="39" t="s">
        <v>479</v>
      </c>
      <c r="B18" s="36" t="s">
        <v>480</v>
      </c>
      <c r="C18" s="35" t="s">
        <v>481</v>
      </c>
      <c r="D18" s="19" t="s">
        <v>474</v>
      </c>
      <c r="E18" s="4"/>
      <c r="F18" s="4"/>
    </row>
    <row r="19" spans="1:6" ht="45.75" customHeight="1" x14ac:dyDescent="0.2">
      <c r="A19" s="16" t="s">
        <v>482</v>
      </c>
      <c r="B19" s="18" t="s">
        <v>483</v>
      </c>
      <c r="C19" s="28" t="s">
        <v>484</v>
      </c>
      <c r="D19" s="38" t="s">
        <v>183</v>
      </c>
      <c r="E19" s="4"/>
      <c r="F19" s="4"/>
    </row>
    <row r="20" spans="1:6" ht="45.75" customHeight="1" x14ac:dyDescent="0.2">
      <c r="A20" s="39" t="s">
        <v>485</v>
      </c>
      <c r="B20" s="36" t="s">
        <v>486</v>
      </c>
      <c r="C20" s="35" t="s">
        <v>487</v>
      </c>
      <c r="D20" s="20" t="s">
        <v>16</v>
      </c>
      <c r="E20" s="4"/>
      <c r="F20" s="4"/>
    </row>
    <row r="21" spans="1:6" ht="45.75" customHeight="1" x14ac:dyDescent="0.2">
      <c r="A21" s="16" t="s">
        <v>488</v>
      </c>
      <c r="B21" s="18" t="s">
        <v>489</v>
      </c>
      <c r="C21" s="28" t="s">
        <v>490</v>
      </c>
      <c r="D21" s="19" t="s">
        <v>474</v>
      </c>
      <c r="E21" s="4"/>
      <c r="F21" s="4"/>
    </row>
    <row r="22" spans="1:6" ht="45.75" customHeight="1" x14ac:dyDescent="0.2">
      <c r="A22" s="39" t="s">
        <v>491</v>
      </c>
      <c r="B22" s="36" t="s">
        <v>492</v>
      </c>
      <c r="C22" s="35" t="s">
        <v>493</v>
      </c>
      <c r="D22" s="25" t="s">
        <v>478</v>
      </c>
      <c r="E22" s="4"/>
      <c r="F22" s="4"/>
    </row>
    <row r="24" spans="1:6" ht="21.75" customHeight="1" x14ac:dyDescent="0.2">
      <c r="A24" s="9" t="s">
        <v>494</v>
      </c>
      <c r="B24" s="9"/>
      <c r="C24" s="9"/>
      <c r="D24" s="9"/>
      <c r="E24" s="9"/>
      <c r="F24" s="9"/>
    </row>
    <row r="25" spans="1:6" ht="55.5" customHeight="1" x14ac:dyDescent="0.2">
      <c r="A25" s="16" t="s">
        <v>495</v>
      </c>
      <c r="B25" s="10" t="s">
        <v>496</v>
      </c>
      <c r="C25" s="10"/>
      <c r="D25" s="10"/>
      <c r="E25" s="10"/>
      <c r="F25" s="10"/>
    </row>
    <row r="26" spans="1:6" ht="55.5" customHeight="1" x14ac:dyDescent="0.2">
      <c r="A26" s="39" t="s">
        <v>497</v>
      </c>
      <c r="B26" s="6" t="s">
        <v>498</v>
      </c>
      <c r="C26" s="6"/>
      <c r="D26" s="6"/>
      <c r="E26" s="6"/>
      <c r="F26" s="6"/>
    </row>
    <row r="27" spans="1:6" ht="55.5" customHeight="1" x14ac:dyDescent="0.2">
      <c r="A27" s="16" t="s">
        <v>499</v>
      </c>
      <c r="B27" s="10" t="s">
        <v>500</v>
      </c>
      <c r="C27" s="10"/>
      <c r="D27" s="10"/>
      <c r="E27" s="10"/>
      <c r="F27" s="10"/>
    </row>
    <row r="28" spans="1:6" ht="69.75" customHeight="1" x14ac:dyDescent="0.2">
      <c r="A28" s="39" t="s">
        <v>501</v>
      </c>
      <c r="B28" s="6" t="s">
        <v>502</v>
      </c>
      <c r="C28" s="6"/>
      <c r="D28" s="6"/>
      <c r="E28" s="6"/>
      <c r="F28" s="6"/>
    </row>
    <row r="29" spans="1:6" ht="55.5" customHeight="1" x14ac:dyDescent="0.2">
      <c r="A29" s="16" t="s">
        <v>503</v>
      </c>
      <c r="B29" s="10" t="s">
        <v>504</v>
      </c>
      <c r="C29" s="10"/>
      <c r="D29" s="10"/>
      <c r="E29" s="10"/>
      <c r="F29" s="10"/>
    </row>
    <row r="30" spans="1:6" ht="55.5" customHeight="1" x14ac:dyDescent="0.2">
      <c r="A30" s="39" t="s">
        <v>505</v>
      </c>
      <c r="B30" s="6" t="s">
        <v>506</v>
      </c>
      <c r="C30" s="6"/>
      <c r="D30" s="6"/>
      <c r="E30" s="6"/>
      <c r="F30" s="6"/>
    </row>
    <row r="31" spans="1:6" ht="55.5" customHeight="1" x14ac:dyDescent="0.2">
      <c r="A31" s="16" t="s">
        <v>507</v>
      </c>
      <c r="B31" s="10" t="s">
        <v>508</v>
      </c>
      <c r="C31" s="10"/>
      <c r="D31" s="10"/>
      <c r="E31" s="10"/>
      <c r="F31" s="10"/>
    </row>
    <row r="33" spans="1:6" ht="21.75" customHeight="1" x14ac:dyDescent="0.2">
      <c r="A33" s="9" t="s">
        <v>509</v>
      </c>
      <c r="B33" s="9"/>
      <c r="C33" s="9"/>
      <c r="D33" s="9"/>
      <c r="E33" s="9"/>
      <c r="F33" s="9"/>
    </row>
    <row r="34" spans="1:6" ht="39.75" customHeight="1" x14ac:dyDescent="0.2">
      <c r="A34" s="32" t="s">
        <v>510</v>
      </c>
      <c r="B34" s="3" t="s">
        <v>511</v>
      </c>
      <c r="C34" s="3"/>
      <c r="D34" s="3"/>
      <c r="E34" s="3"/>
      <c r="F34" s="3"/>
    </row>
    <row r="35" spans="1:6" ht="39.75" customHeight="1" x14ac:dyDescent="0.2">
      <c r="A35" s="48" t="s">
        <v>510</v>
      </c>
      <c r="B35" s="2" t="s">
        <v>512</v>
      </c>
      <c r="C35" s="2"/>
      <c r="D35" s="2"/>
      <c r="E35" s="2"/>
      <c r="F35" s="2"/>
    </row>
    <row r="36" spans="1:6" ht="39.75" customHeight="1" x14ac:dyDescent="0.2">
      <c r="A36" s="32" t="s">
        <v>510</v>
      </c>
      <c r="B36" s="3" t="s">
        <v>513</v>
      </c>
      <c r="C36" s="3"/>
      <c r="D36" s="3"/>
      <c r="E36" s="3"/>
      <c r="F36" s="3"/>
    </row>
    <row r="37" spans="1:6" ht="39.75" customHeight="1" x14ac:dyDescent="0.2">
      <c r="A37" s="48" t="s">
        <v>510</v>
      </c>
      <c r="B37" s="2" t="s">
        <v>514</v>
      </c>
      <c r="C37" s="2"/>
      <c r="D37" s="2"/>
      <c r="E37" s="2"/>
      <c r="F37" s="2"/>
    </row>
    <row r="38" spans="1:6" ht="39.75" customHeight="1" x14ac:dyDescent="0.2">
      <c r="A38" s="32" t="s">
        <v>510</v>
      </c>
      <c r="B38" s="3" t="s">
        <v>685</v>
      </c>
      <c r="C38" s="3"/>
      <c r="D38" s="3"/>
      <c r="E38" s="3"/>
      <c r="F38" s="3"/>
    </row>
  </sheetData>
  <mergeCells count="35">
    <mergeCell ref="B34:F34"/>
    <mergeCell ref="B35:F35"/>
    <mergeCell ref="B36:F36"/>
    <mergeCell ref="B37:F37"/>
    <mergeCell ref="B38:F38"/>
    <mergeCell ref="B28:F28"/>
    <mergeCell ref="B29:F29"/>
    <mergeCell ref="B30:F30"/>
    <mergeCell ref="B31:F31"/>
    <mergeCell ref="A33:F33"/>
    <mergeCell ref="E22:F22"/>
    <mergeCell ref="A24:F24"/>
    <mergeCell ref="B25:F25"/>
    <mergeCell ref="B26:F26"/>
    <mergeCell ref="B27:F27"/>
    <mergeCell ref="E17:F17"/>
    <mergeCell ref="E18:F18"/>
    <mergeCell ref="E19:F19"/>
    <mergeCell ref="E20:F20"/>
    <mergeCell ref="E21:F21"/>
    <mergeCell ref="D11:F11"/>
    <mergeCell ref="A13:F13"/>
    <mergeCell ref="E14:F14"/>
    <mergeCell ref="E15:F15"/>
    <mergeCell ref="E16:F16"/>
    <mergeCell ref="D6:F6"/>
    <mergeCell ref="D7:F7"/>
    <mergeCell ref="D8:F8"/>
    <mergeCell ref="D9:F9"/>
    <mergeCell ref="D10:F10"/>
    <mergeCell ref="A1:F1"/>
    <mergeCell ref="A2:F2"/>
    <mergeCell ref="A3:F3"/>
    <mergeCell ref="D4:F4"/>
    <mergeCell ref="D5:F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7"/>
  <sheetViews>
    <sheetView showGridLines="0" zoomScale="142" zoomScaleNormal="100" workbookViewId="0">
      <pane ySplit="3" topLeftCell="A5" activePane="bottomLeft" state="frozen"/>
      <selection pane="bottomLeft" activeCell="C6" sqref="C6"/>
    </sheetView>
  </sheetViews>
  <sheetFormatPr baseColWidth="10" defaultColWidth="8.6640625" defaultRowHeight="15" x14ac:dyDescent="0.2"/>
  <cols>
    <col min="1" max="1" width="34" customWidth="1"/>
    <col min="2" max="2" width="52" customWidth="1"/>
    <col min="3" max="3" width="15" customWidth="1"/>
    <col min="4" max="4" width="48" customWidth="1"/>
  </cols>
  <sheetData>
    <row r="1" spans="1:4" ht="30" customHeight="1" x14ac:dyDescent="0.2">
      <c r="A1" s="12" t="s">
        <v>698</v>
      </c>
      <c r="B1" s="12"/>
      <c r="C1" s="12"/>
      <c r="D1" s="12"/>
    </row>
    <row r="2" spans="1:4" ht="18" customHeight="1" x14ac:dyDescent="0.2">
      <c r="A2" s="11" t="s">
        <v>515</v>
      </c>
      <c r="B2" s="11"/>
      <c r="C2" s="11"/>
      <c r="D2" s="11"/>
    </row>
    <row r="3" spans="1:4" ht="30" customHeight="1" x14ac:dyDescent="0.2">
      <c r="A3" s="22" t="s">
        <v>516</v>
      </c>
      <c r="B3" s="22" t="s">
        <v>517</v>
      </c>
      <c r="C3" s="22" t="s">
        <v>518</v>
      </c>
      <c r="D3" s="22" t="s">
        <v>519</v>
      </c>
    </row>
    <row r="4" spans="1:4" ht="51.75" customHeight="1" x14ac:dyDescent="0.2">
      <c r="A4" s="24" t="s">
        <v>520</v>
      </c>
      <c r="B4" s="28" t="s">
        <v>521</v>
      </c>
      <c r="C4" s="21" t="s">
        <v>16</v>
      </c>
      <c r="D4" s="31" t="s">
        <v>522</v>
      </c>
    </row>
    <row r="5" spans="1:4" ht="51.75" customHeight="1" x14ac:dyDescent="0.2">
      <c r="A5" s="34" t="s">
        <v>523</v>
      </c>
      <c r="B5" s="35" t="s">
        <v>674</v>
      </c>
      <c r="C5" s="25" t="s">
        <v>193</v>
      </c>
      <c r="D5" s="37" t="s">
        <v>524</v>
      </c>
    </row>
    <row r="6" spans="1:4" ht="51.75" customHeight="1" x14ac:dyDescent="0.2">
      <c r="A6" s="24" t="s">
        <v>525</v>
      </c>
      <c r="B6" s="28" t="s">
        <v>526</v>
      </c>
      <c r="C6" s="19" t="s">
        <v>11</v>
      </c>
      <c r="D6" s="31" t="s">
        <v>527</v>
      </c>
    </row>
    <row r="7" spans="1:4" ht="51.75" customHeight="1" x14ac:dyDescent="0.2">
      <c r="A7" s="34" t="s">
        <v>528</v>
      </c>
      <c r="B7" s="35" t="s">
        <v>529</v>
      </c>
      <c r="C7" s="19" t="s">
        <v>11</v>
      </c>
      <c r="D7" s="37" t="s">
        <v>530</v>
      </c>
    </row>
    <row r="8" spans="1:4" ht="51.75" customHeight="1" x14ac:dyDescent="0.2">
      <c r="A8" s="24" t="s">
        <v>531</v>
      </c>
      <c r="B8" s="28" t="s">
        <v>532</v>
      </c>
      <c r="C8" s="21" t="s">
        <v>16</v>
      </c>
      <c r="D8" s="31" t="s">
        <v>533</v>
      </c>
    </row>
    <row r="9" spans="1:4" ht="51.75" customHeight="1" x14ac:dyDescent="0.2">
      <c r="A9" s="34" t="s">
        <v>534</v>
      </c>
      <c r="B9" s="35" t="s">
        <v>535</v>
      </c>
      <c r="C9" s="21" t="s">
        <v>16</v>
      </c>
      <c r="D9" s="37" t="s">
        <v>536</v>
      </c>
    </row>
    <row r="10" spans="1:4" ht="51.75" customHeight="1" x14ac:dyDescent="0.2">
      <c r="A10" s="24" t="s">
        <v>537</v>
      </c>
      <c r="B10" s="28" t="s">
        <v>538</v>
      </c>
      <c r="C10" s="20" t="s">
        <v>14</v>
      </c>
      <c r="D10" s="31" t="s">
        <v>539</v>
      </c>
    </row>
    <row r="11" spans="1:4" ht="51.75" customHeight="1" x14ac:dyDescent="0.2">
      <c r="A11" s="34" t="s">
        <v>540</v>
      </c>
      <c r="B11" s="35" t="s">
        <v>541</v>
      </c>
      <c r="C11" s="21" t="s">
        <v>16</v>
      </c>
      <c r="D11" s="37" t="s">
        <v>542</v>
      </c>
    </row>
    <row r="12" spans="1:4" ht="51.75" customHeight="1" x14ac:dyDescent="0.2">
      <c r="A12" s="24" t="s">
        <v>543</v>
      </c>
      <c r="B12" s="28" t="s">
        <v>544</v>
      </c>
      <c r="C12" s="21" t="s">
        <v>16</v>
      </c>
      <c r="D12" s="31" t="s">
        <v>545</v>
      </c>
    </row>
    <row r="13" spans="1:4" ht="51.75" customHeight="1" x14ac:dyDescent="0.2">
      <c r="A13" s="34" t="s">
        <v>546</v>
      </c>
      <c r="B13" s="35" t="s">
        <v>547</v>
      </c>
      <c r="C13" s="21" t="s">
        <v>16</v>
      </c>
      <c r="D13" s="37" t="s">
        <v>548</v>
      </c>
    </row>
    <row r="14" spans="1:4" ht="51.75" customHeight="1" x14ac:dyDescent="0.2">
      <c r="A14" s="24" t="s">
        <v>549</v>
      </c>
      <c r="B14" s="28" t="s">
        <v>550</v>
      </c>
      <c r="C14" s="19" t="s">
        <v>677</v>
      </c>
      <c r="D14" s="31" t="s">
        <v>551</v>
      </c>
    </row>
    <row r="15" spans="1:4" ht="51.75" customHeight="1" x14ac:dyDescent="0.2">
      <c r="A15" s="34" t="s">
        <v>552</v>
      </c>
      <c r="B15" s="35" t="s">
        <v>553</v>
      </c>
      <c r="C15" s="19" t="s">
        <v>677</v>
      </c>
      <c r="D15" s="37" t="s">
        <v>554</v>
      </c>
    </row>
    <row r="16" spans="1:4" ht="51.75" customHeight="1" x14ac:dyDescent="0.2">
      <c r="A16" s="24" t="s">
        <v>555</v>
      </c>
      <c r="B16" s="28" t="s">
        <v>541</v>
      </c>
      <c r="C16" s="21" t="s">
        <v>16</v>
      </c>
      <c r="D16" s="31" t="s">
        <v>556</v>
      </c>
    </row>
    <row r="17" spans="1:4" ht="51.75" customHeight="1" x14ac:dyDescent="0.2">
      <c r="A17" s="34" t="s">
        <v>557</v>
      </c>
      <c r="B17" s="35" t="s">
        <v>541</v>
      </c>
      <c r="C17" s="21" t="s">
        <v>16</v>
      </c>
      <c r="D17" s="37" t="s">
        <v>558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37"/>
  <sheetViews>
    <sheetView showGridLines="0" tabSelected="1" zoomScale="125" zoomScaleNormal="100" workbookViewId="0">
      <pane ySplit="3" topLeftCell="A4" activePane="bottomLeft" state="frozen"/>
      <selection pane="bottomLeft" activeCell="D31" sqref="D31"/>
    </sheetView>
  </sheetViews>
  <sheetFormatPr baseColWidth="10" defaultColWidth="8.6640625" defaultRowHeight="15" x14ac:dyDescent="0.2"/>
  <cols>
    <col min="1" max="1" width="24" customWidth="1"/>
    <col min="2" max="2" width="40" customWidth="1"/>
    <col min="3" max="3" width="7" customWidth="1"/>
    <col min="4" max="4" width="58" customWidth="1"/>
    <col min="5" max="5" width="46" customWidth="1"/>
  </cols>
  <sheetData>
    <row r="1" spans="1:5" ht="30" customHeight="1" x14ac:dyDescent="0.2">
      <c r="A1" s="12" t="s">
        <v>559</v>
      </c>
      <c r="B1" s="12"/>
      <c r="C1" s="12"/>
      <c r="D1" s="12"/>
      <c r="E1" s="12"/>
    </row>
    <row r="2" spans="1:5" ht="19.5" customHeight="1" x14ac:dyDescent="0.2">
      <c r="A2" s="11" t="s">
        <v>560</v>
      </c>
      <c r="B2" s="11"/>
      <c r="C2" s="11"/>
      <c r="D2" s="11"/>
      <c r="E2" s="11"/>
    </row>
    <row r="3" spans="1:5" ht="30" customHeight="1" x14ac:dyDescent="0.2">
      <c r="A3" s="22" t="s">
        <v>561</v>
      </c>
      <c r="B3" s="22" t="s">
        <v>562</v>
      </c>
      <c r="C3" s="22" t="s">
        <v>563</v>
      </c>
      <c r="D3" s="22" t="s">
        <v>564</v>
      </c>
      <c r="E3" s="22" t="s">
        <v>565</v>
      </c>
    </row>
    <row r="4" spans="1:5" ht="39.75" customHeight="1" x14ac:dyDescent="0.2">
      <c r="A4" s="16" t="s">
        <v>566</v>
      </c>
      <c r="B4" s="14" t="s">
        <v>567</v>
      </c>
      <c r="C4" s="26" t="s">
        <v>568</v>
      </c>
      <c r="D4" s="49" t="s">
        <v>569</v>
      </c>
      <c r="E4" s="18" t="s">
        <v>570</v>
      </c>
    </row>
    <row r="5" spans="1:5" ht="39.75" customHeight="1" x14ac:dyDescent="0.2">
      <c r="A5" s="39"/>
      <c r="B5" s="50" t="s">
        <v>571</v>
      </c>
      <c r="C5" s="51" t="s">
        <v>568</v>
      </c>
      <c r="D5" s="52" t="s">
        <v>572</v>
      </c>
      <c r="E5" s="36" t="s">
        <v>573</v>
      </c>
    </row>
    <row r="6" spans="1:5" ht="39.75" customHeight="1" x14ac:dyDescent="0.2">
      <c r="A6" s="16"/>
      <c r="B6" s="14" t="s">
        <v>574</v>
      </c>
      <c r="C6" s="26" t="s">
        <v>568</v>
      </c>
      <c r="D6" s="49" t="s">
        <v>575</v>
      </c>
      <c r="E6" s="18" t="s">
        <v>576</v>
      </c>
    </row>
    <row r="7" spans="1:5" ht="39.75" customHeight="1" x14ac:dyDescent="0.2">
      <c r="A7" s="39" t="s">
        <v>577</v>
      </c>
      <c r="B7" s="50" t="s">
        <v>578</v>
      </c>
      <c r="C7" s="51" t="s">
        <v>568</v>
      </c>
      <c r="D7" s="52" t="s">
        <v>579</v>
      </c>
      <c r="E7" s="36" t="s">
        <v>580</v>
      </c>
    </row>
    <row r="8" spans="1:5" ht="39.75" customHeight="1" x14ac:dyDescent="0.2">
      <c r="A8" s="16"/>
      <c r="B8" s="14" t="s">
        <v>581</v>
      </c>
      <c r="C8" s="26" t="s">
        <v>568</v>
      </c>
      <c r="D8" s="49" t="s">
        <v>569</v>
      </c>
      <c r="E8" s="18" t="s">
        <v>582</v>
      </c>
    </row>
    <row r="9" spans="1:5" ht="39.75" customHeight="1" x14ac:dyDescent="0.2">
      <c r="A9" s="39" t="s">
        <v>123</v>
      </c>
      <c r="B9" s="50" t="s">
        <v>583</v>
      </c>
      <c r="C9" s="51" t="s">
        <v>584</v>
      </c>
      <c r="D9" s="52" t="s">
        <v>585</v>
      </c>
      <c r="E9" s="36" t="s">
        <v>586</v>
      </c>
    </row>
    <row r="10" spans="1:5" ht="39.75" customHeight="1" x14ac:dyDescent="0.2">
      <c r="A10" s="16"/>
      <c r="B10" s="14" t="s">
        <v>587</v>
      </c>
      <c r="C10" s="26" t="s">
        <v>568</v>
      </c>
      <c r="D10" s="49" t="s">
        <v>588</v>
      </c>
      <c r="E10" s="18" t="s">
        <v>589</v>
      </c>
    </row>
    <row r="11" spans="1:5" ht="39.75" customHeight="1" x14ac:dyDescent="0.2">
      <c r="A11" s="39"/>
      <c r="B11" s="50" t="s">
        <v>590</v>
      </c>
      <c r="C11" s="51" t="s">
        <v>591</v>
      </c>
      <c r="D11" s="52" t="s">
        <v>592</v>
      </c>
      <c r="E11" s="36" t="s">
        <v>593</v>
      </c>
    </row>
    <row r="12" spans="1:5" ht="39.75" customHeight="1" x14ac:dyDescent="0.2">
      <c r="A12" s="16" t="s">
        <v>594</v>
      </c>
      <c r="B12" s="14" t="s">
        <v>595</v>
      </c>
      <c r="C12" s="26" t="s">
        <v>568</v>
      </c>
      <c r="D12" s="49" t="s">
        <v>596</v>
      </c>
      <c r="E12" s="18" t="s">
        <v>597</v>
      </c>
    </row>
    <row r="13" spans="1:5" ht="39.75" customHeight="1" x14ac:dyDescent="0.2">
      <c r="A13" s="39"/>
      <c r="B13" s="50" t="s">
        <v>598</v>
      </c>
      <c r="C13" s="51" t="s">
        <v>591</v>
      </c>
      <c r="D13" s="52" t="s">
        <v>599</v>
      </c>
      <c r="E13" s="36" t="s">
        <v>600</v>
      </c>
    </row>
    <row r="14" spans="1:5" ht="39.75" customHeight="1" x14ac:dyDescent="0.2">
      <c r="A14" s="16" t="s">
        <v>601</v>
      </c>
      <c r="B14" s="14" t="s">
        <v>602</v>
      </c>
      <c r="C14" s="26" t="s">
        <v>568</v>
      </c>
      <c r="D14" s="49" t="s">
        <v>603</v>
      </c>
      <c r="E14" s="18" t="s">
        <v>604</v>
      </c>
    </row>
    <row r="15" spans="1:5" ht="39.75" customHeight="1" x14ac:dyDescent="0.2">
      <c r="A15" s="39"/>
      <c r="B15" s="50" t="s">
        <v>605</v>
      </c>
      <c r="C15" s="51" t="s">
        <v>568</v>
      </c>
      <c r="D15" s="52" t="s">
        <v>606</v>
      </c>
      <c r="E15" s="36" t="s">
        <v>607</v>
      </c>
    </row>
    <row r="16" spans="1:5" ht="39.75" customHeight="1" x14ac:dyDescent="0.2">
      <c r="A16" s="16"/>
      <c r="B16" s="14" t="s">
        <v>608</v>
      </c>
      <c r="C16" s="26" t="s">
        <v>568</v>
      </c>
      <c r="D16" s="49" t="s">
        <v>609</v>
      </c>
      <c r="E16" s="18" t="s">
        <v>610</v>
      </c>
    </row>
    <row r="17" spans="1:5" ht="39.75" customHeight="1" x14ac:dyDescent="0.2">
      <c r="A17" s="39" t="s">
        <v>611</v>
      </c>
      <c r="B17" s="50" t="s">
        <v>612</v>
      </c>
      <c r="C17" s="51" t="s">
        <v>568</v>
      </c>
      <c r="D17" s="52" t="s">
        <v>613</v>
      </c>
      <c r="E17" s="36" t="s">
        <v>614</v>
      </c>
    </row>
    <row r="18" spans="1:5" ht="39.75" customHeight="1" x14ac:dyDescent="0.2">
      <c r="A18" s="16"/>
      <c r="B18" s="14" t="s">
        <v>615</v>
      </c>
      <c r="C18" s="26" t="s">
        <v>568</v>
      </c>
      <c r="D18" s="49" t="s">
        <v>616</v>
      </c>
      <c r="E18" s="18" t="s">
        <v>617</v>
      </c>
    </row>
    <row r="19" spans="1:5" ht="39.75" customHeight="1" x14ac:dyDescent="0.2">
      <c r="A19" s="39"/>
      <c r="B19" s="50" t="s">
        <v>618</v>
      </c>
      <c r="C19" s="51" t="s">
        <v>591</v>
      </c>
      <c r="D19" s="52" t="s">
        <v>619</v>
      </c>
      <c r="E19" s="36" t="s">
        <v>620</v>
      </c>
    </row>
    <row r="20" spans="1:5" ht="39.75" customHeight="1" x14ac:dyDescent="0.2">
      <c r="A20" s="16"/>
      <c r="B20" s="14" t="s">
        <v>621</v>
      </c>
      <c r="C20" s="26" t="s">
        <v>591</v>
      </c>
      <c r="D20" s="49" t="s">
        <v>622</v>
      </c>
      <c r="E20" s="18" t="s">
        <v>623</v>
      </c>
    </row>
    <row r="21" spans="1:5" ht="39.75" customHeight="1" x14ac:dyDescent="0.2">
      <c r="A21" s="39"/>
      <c r="B21" s="50" t="s">
        <v>624</v>
      </c>
      <c r="C21" s="51" t="s">
        <v>591</v>
      </c>
      <c r="D21" s="52" t="s">
        <v>625</v>
      </c>
      <c r="E21" s="36" t="s">
        <v>626</v>
      </c>
    </row>
    <row r="22" spans="1:5" ht="39.75" customHeight="1" x14ac:dyDescent="0.2">
      <c r="A22" s="16" t="s">
        <v>627</v>
      </c>
      <c r="B22" s="14" t="s">
        <v>628</v>
      </c>
      <c r="C22" s="26" t="s">
        <v>568</v>
      </c>
      <c r="D22" s="49" t="s">
        <v>629</v>
      </c>
      <c r="E22" s="18" t="s">
        <v>630</v>
      </c>
    </row>
    <row r="23" spans="1:5" ht="39.75" customHeight="1" x14ac:dyDescent="0.2">
      <c r="A23" s="39"/>
      <c r="B23" s="50" t="s">
        <v>631</v>
      </c>
      <c r="C23" s="51" t="s">
        <v>568</v>
      </c>
      <c r="D23" s="52" t="s">
        <v>632</v>
      </c>
      <c r="E23" s="36" t="s">
        <v>633</v>
      </c>
    </row>
    <row r="24" spans="1:5" ht="39.75" customHeight="1" x14ac:dyDescent="0.2">
      <c r="A24" s="16"/>
      <c r="B24" s="14" t="s">
        <v>634</v>
      </c>
      <c r="C24" s="26" t="s">
        <v>568</v>
      </c>
      <c r="D24" s="49" t="s">
        <v>635</v>
      </c>
      <c r="E24" s="18" t="s">
        <v>636</v>
      </c>
    </row>
    <row r="26" spans="1:5" ht="39.75" customHeight="1" x14ac:dyDescent="0.2">
      <c r="A26" s="16" t="s">
        <v>637</v>
      </c>
      <c r="B26" s="1" t="s">
        <v>638</v>
      </c>
      <c r="C26" s="1"/>
      <c r="D26" s="1"/>
      <c r="E26" s="1"/>
    </row>
    <row r="27" spans="1:5" ht="39.75" customHeight="1" x14ac:dyDescent="0.2">
      <c r="A27" s="39" t="s">
        <v>637</v>
      </c>
      <c r="B27" s="50" t="s">
        <v>639</v>
      </c>
      <c r="C27" s="51" t="s">
        <v>568</v>
      </c>
      <c r="D27" s="52" t="s">
        <v>640</v>
      </c>
      <c r="E27" s="36" t="s">
        <v>641</v>
      </c>
    </row>
    <row r="28" spans="1:5" ht="39.75" customHeight="1" x14ac:dyDescent="0.2">
      <c r="A28" s="16" t="s">
        <v>637</v>
      </c>
      <c r="B28" s="14" t="s">
        <v>642</v>
      </c>
      <c r="C28" s="26" t="s">
        <v>568</v>
      </c>
      <c r="D28" s="49" t="s">
        <v>643</v>
      </c>
      <c r="E28" s="18" t="s">
        <v>644</v>
      </c>
    </row>
    <row r="29" spans="1:5" ht="39.75" customHeight="1" x14ac:dyDescent="0.2">
      <c r="A29" s="39" t="s">
        <v>637</v>
      </c>
      <c r="B29" s="50" t="s">
        <v>645</v>
      </c>
      <c r="C29" s="51" t="s">
        <v>568</v>
      </c>
      <c r="D29" s="52" t="s">
        <v>646</v>
      </c>
      <c r="E29" s="36" t="s">
        <v>647</v>
      </c>
    </row>
    <row r="30" spans="1:5" ht="39.75" customHeight="1" x14ac:dyDescent="0.2">
      <c r="A30" s="16" t="s">
        <v>637</v>
      </c>
      <c r="B30" s="14" t="s">
        <v>648</v>
      </c>
      <c r="C30" s="26" t="s">
        <v>568</v>
      </c>
      <c r="D30" s="49" t="s">
        <v>649</v>
      </c>
      <c r="E30" s="18" t="s">
        <v>650</v>
      </c>
    </row>
    <row r="31" spans="1:5" ht="39.75" customHeight="1" x14ac:dyDescent="0.2">
      <c r="A31" s="39" t="s">
        <v>651</v>
      </c>
      <c r="B31" s="50" t="s">
        <v>652</v>
      </c>
      <c r="C31" s="51" t="s">
        <v>568</v>
      </c>
      <c r="D31" s="52" t="s">
        <v>653</v>
      </c>
      <c r="E31" s="36" t="s">
        <v>675</v>
      </c>
    </row>
    <row r="32" spans="1:5" ht="39.75" customHeight="1" x14ac:dyDescent="0.2">
      <c r="A32" s="16" t="s">
        <v>654</v>
      </c>
      <c r="B32" s="14" t="s">
        <v>655</v>
      </c>
      <c r="C32" s="26" t="s">
        <v>568</v>
      </c>
      <c r="D32" s="49" t="s">
        <v>656</v>
      </c>
      <c r="E32" s="18" t="s">
        <v>657</v>
      </c>
    </row>
    <row r="33" spans="1:5" ht="39.75" customHeight="1" x14ac:dyDescent="0.2">
      <c r="A33" s="39" t="s">
        <v>654</v>
      </c>
      <c r="B33" s="50" t="s">
        <v>658</v>
      </c>
      <c r="C33" s="51" t="s">
        <v>568</v>
      </c>
      <c r="D33" s="52" t="s">
        <v>659</v>
      </c>
      <c r="E33" s="36" t="s">
        <v>660</v>
      </c>
    </row>
    <row r="34" spans="1:5" ht="39.75" customHeight="1" x14ac:dyDescent="0.2">
      <c r="A34" s="16" t="s">
        <v>654</v>
      </c>
      <c r="B34" s="14" t="s">
        <v>661</v>
      </c>
      <c r="C34" s="26" t="s">
        <v>568</v>
      </c>
      <c r="D34" s="49" t="s">
        <v>662</v>
      </c>
      <c r="E34" s="18" t="s">
        <v>663</v>
      </c>
    </row>
    <row r="35" spans="1:5" ht="39.75" customHeight="1" x14ac:dyDescent="0.2">
      <c r="A35" s="39" t="s">
        <v>664</v>
      </c>
      <c r="B35" s="50" t="s">
        <v>665</v>
      </c>
      <c r="C35" s="51" t="s">
        <v>568</v>
      </c>
      <c r="D35" s="52" t="s">
        <v>666</v>
      </c>
      <c r="E35" s="36" t="s">
        <v>667</v>
      </c>
    </row>
    <row r="36" spans="1:5" ht="39.75" customHeight="1" x14ac:dyDescent="0.2">
      <c r="A36" s="16" t="s">
        <v>668</v>
      </c>
      <c r="B36" s="14" t="s">
        <v>669</v>
      </c>
      <c r="C36" s="26" t="s">
        <v>568</v>
      </c>
      <c r="D36" s="49" t="s">
        <v>670</v>
      </c>
      <c r="E36" s="18" t="s">
        <v>671</v>
      </c>
    </row>
    <row r="37" spans="1:5" ht="39" x14ac:dyDescent="0.2">
      <c r="A37" s="16" t="s">
        <v>672</v>
      </c>
      <c r="B37" s="18" t="s">
        <v>673</v>
      </c>
      <c r="C37" s="53"/>
      <c r="D37" s="53"/>
      <c r="E37" s="54"/>
    </row>
  </sheetData>
  <mergeCells count="3">
    <mergeCell ref="A1:E1"/>
    <mergeCell ref="A2:E2"/>
    <mergeCell ref="B26:E26"/>
  </mergeCells>
  <hyperlinks>
    <hyperlink ref="D4" r:id="rId1" xr:uid="{00000000-0004-0000-0A00-000000000000}"/>
    <hyperlink ref="D5" r:id="rId2" xr:uid="{00000000-0004-0000-0A00-000001000000}"/>
    <hyperlink ref="D6" r:id="rId3" xr:uid="{00000000-0004-0000-0A00-000002000000}"/>
    <hyperlink ref="D7" r:id="rId4" xr:uid="{00000000-0004-0000-0A00-000003000000}"/>
    <hyperlink ref="D8" r:id="rId5" xr:uid="{00000000-0004-0000-0A00-000004000000}"/>
    <hyperlink ref="D9" r:id="rId6" location="cpt_I" xr:uid="{00000000-0004-0000-0A00-000005000000}"/>
    <hyperlink ref="D10" r:id="rId7" xr:uid="{00000000-0004-0000-0A00-000006000000}"/>
    <hyperlink ref="D11" r:id="rId8" xr:uid="{00000000-0004-0000-0A00-000007000000}"/>
    <hyperlink ref="D12" r:id="rId9" xr:uid="{00000000-0004-0000-0A00-000008000000}"/>
    <hyperlink ref="D13" r:id="rId10" xr:uid="{00000000-0004-0000-0A00-000009000000}"/>
    <hyperlink ref="D14" r:id="rId11" xr:uid="{00000000-0004-0000-0A00-00000A000000}"/>
    <hyperlink ref="D15" r:id="rId12" xr:uid="{00000000-0004-0000-0A00-00000B000000}"/>
    <hyperlink ref="D16" r:id="rId13" xr:uid="{00000000-0004-0000-0A00-00000C000000}"/>
    <hyperlink ref="D17" r:id="rId14" xr:uid="{00000000-0004-0000-0A00-00000D000000}"/>
    <hyperlink ref="D18" r:id="rId15" xr:uid="{00000000-0004-0000-0A00-00000E000000}"/>
    <hyperlink ref="D19" r:id="rId16" xr:uid="{00000000-0004-0000-0A00-00000F000000}"/>
    <hyperlink ref="D20" r:id="rId17" xr:uid="{00000000-0004-0000-0A00-000010000000}"/>
    <hyperlink ref="D21" r:id="rId18" xr:uid="{00000000-0004-0000-0A00-000011000000}"/>
    <hyperlink ref="D22" r:id="rId19" xr:uid="{00000000-0004-0000-0A00-000012000000}"/>
    <hyperlink ref="D23" r:id="rId20" xr:uid="{00000000-0004-0000-0A00-000013000000}"/>
    <hyperlink ref="D24" r:id="rId21" xr:uid="{00000000-0004-0000-0A00-000014000000}"/>
    <hyperlink ref="B26" r:id="rId22" xr:uid="{00000000-0004-0000-0A00-000015000000}"/>
    <hyperlink ref="D27" r:id="rId23" xr:uid="{00000000-0004-0000-0A00-000016000000}"/>
    <hyperlink ref="D28" r:id="rId24" xr:uid="{00000000-0004-0000-0A00-000017000000}"/>
    <hyperlink ref="D29" r:id="rId25" xr:uid="{00000000-0004-0000-0A00-000018000000}"/>
    <hyperlink ref="D30" r:id="rId26" xr:uid="{00000000-0004-0000-0A00-000019000000}"/>
    <hyperlink ref="D31" r:id="rId27" xr:uid="{00000000-0004-0000-0A00-00001A000000}"/>
    <hyperlink ref="D32" r:id="rId28" xr:uid="{00000000-0004-0000-0A00-00001B000000}"/>
    <hyperlink ref="D33" r:id="rId29" xr:uid="{00000000-0004-0000-0A00-00001C000000}"/>
    <hyperlink ref="D34" r:id="rId30" xr:uid="{00000000-0004-0000-0A00-00001D000000}"/>
    <hyperlink ref="D35" r:id="rId31" xr:uid="{00000000-0004-0000-0A00-00001E000000}"/>
    <hyperlink ref="D36" r:id="rId32" xr:uid="{00000000-0004-0000-0A00-00001F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Feature x Industry Fit</vt:lpstr>
      <vt:lpstr>Feature Catalogue</vt:lpstr>
      <vt:lpstr>Framework Crosswalk</vt:lpstr>
      <vt:lpstr>Control to Feature Response</vt:lpstr>
      <vt:lpstr>Account to Feature Map</vt:lpstr>
      <vt:lpstr>Industry Playbook</vt:lpstr>
      <vt:lpstr>EU AI Act Timeline</vt:lpstr>
      <vt:lpstr>India RBI &amp; DPDP</vt:lpstr>
      <vt:lpstr>Evidence &amp; Risk Register</vt:lpstr>
      <vt:lpstr>Resource 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Ajay Raj Singh</cp:lastModifiedBy>
  <cp:revision>0</cp:revision>
  <dcterms:created xsi:type="dcterms:W3CDTF">2026-06-03T11:58:30Z</dcterms:created>
  <dcterms:modified xsi:type="dcterms:W3CDTF">2026-06-04T06:30:09Z</dcterms:modified>
  <dc:language>en-US</dc:language>
</cp:coreProperties>
</file>